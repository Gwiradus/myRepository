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amb\Desktop\Thesis Work\myRepository\myThesis\evFleet\results\"/>
    </mc:Choice>
  </mc:AlternateContent>
  <xr:revisionPtr revIDLastSave="0" documentId="8_{BE5D3C7D-2F27-4457-8A44-DF41EC7475E1}" xr6:coauthVersionLast="44" xr6:coauthVersionMax="44" xr10:uidLastSave="{00000000-0000-0000-0000-000000000000}"/>
  <bookViews>
    <workbookView xWindow="-108" yWindow="-108" windowWidth="23256" windowHeight="12576" activeTab="1" xr2:uid="{83731CED-7716-47D3-AD5F-11BB779EB15F}"/>
  </bookViews>
  <sheets>
    <sheet name="Succesful non-et test" sheetId="2" r:id="rId1"/>
    <sheet name="et test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" i="1" l="1"/>
  <c r="N34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" i="1"/>
  <c r="H2" i="2"/>
  <c r="H3" i="2"/>
  <c r="H4" i="2"/>
  <c r="K5" i="2" s="1"/>
  <c r="H5" i="2"/>
  <c r="H6" i="2"/>
  <c r="H7" i="2"/>
  <c r="H8" i="2"/>
  <c r="H9" i="2"/>
  <c r="H10" i="2"/>
  <c r="H11" i="2"/>
  <c r="K12" i="2" s="1"/>
  <c r="L12" i="2" s="1"/>
  <c r="H12" i="2"/>
  <c r="K13" i="2" s="1"/>
  <c r="L13" i="2" s="1"/>
  <c r="G2" i="1"/>
  <c r="I2" i="1"/>
  <c r="G3" i="1"/>
  <c r="I3" i="1"/>
  <c r="L3" i="1"/>
  <c r="D3" i="1" s="1"/>
  <c r="G4" i="1"/>
  <c r="I4" i="1"/>
  <c r="L5" i="1" s="1"/>
  <c r="L4" i="1"/>
  <c r="G5" i="1"/>
  <c r="I5" i="1"/>
  <c r="L6" i="1" s="1"/>
  <c r="G6" i="1"/>
  <c r="I6" i="1"/>
  <c r="L7" i="1" s="1"/>
  <c r="G7" i="1"/>
  <c r="I7" i="1"/>
  <c r="L8" i="1" s="1"/>
  <c r="G8" i="1"/>
  <c r="I8" i="1"/>
  <c r="L9" i="1" s="1"/>
  <c r="G9" i="1"/>
  <c r="I9" i="1"/>
  <c r="G10" i="1"/>
  <c r="I10" i="1"/>
  <c r="L11" i="1" s="1"/>
  <c r="L10" i="1"/>
  <c r="G11" i="1"/>
  <c r="I11" i="1"/>
  <c r="L12" i="1" s="1"/>
  <c r="M12" i="1" s="1"/>
  <c r="G12" i="1"/>
  <c r="I12" i="1"/>
  <c r="L13" i="1" s="1"/>
  <c r="G13" i="1"/>
  <c r="I13" i="1"/>
  <c r="L14" i="1" s="1"/>
  <c r="G14" i="1"/>
  <c r="I14" i="1"/>
  <c r="L15" i="1" s="1"/>
  <c r="G15" i="1"/>
  <c r="I15" i="1"/>
  <c r="L16" i="1" s="1"/>
  <c r="G16" i="1"/>
  <c r="I16" i="1"/>
  <c r="L17" i="1" s="1"/>
  <c r="G17" i="1"/>
  <c r="I17" i="1"/>
  <c r="L18" i="1" s="1"/>
  <c r="G18" i="1"/>
  <c r="I18" i="1"/>
  <c r="L19" i="1" s="1"/>
  <c r="G19" i="1"/>
  <c r="I19" i="1"/>
  <c r="L20" i="1" s="1"/>
  <c r="G20" i="1"/>
  <c r="I20" i="1"/>
  <c r="L21" i="1" s="1"/>
  <c r="G21" i="1"/>
  <c r="I21" i="1"/>
  <c r="L22" i="1" s="1"/>
  <c r="G22" i="1"/>
  <c r="I22" i="1"/>
  <c r="L23" i="1" s="1"/>
  <c r="G23" i="1"/>
  <c r="I23" i="1"/>
  <c r="L24" i="1" s="1"/>
  <c r="G24" i="1"/>
  <c r="I24" i="1"/>
  <c r="L25" i="1" s="1"/>
  <c r="G25" i="1"/>
  <c r="I25" i="1"/>
  <c r="L26" i="1" s="1"/>
  <c r="M26" i="1" s="1"/>
  <c r="G26" i="1"/>
  <c r="I26" i="1"/>
  <c r="L27" i="1" s="1"/>
  <c r="G27" i="1"/>
  <c r="I27" i="1"/>
  <c r="L28" i="1" s="1"/>
  <c r="G28" i="1"/>
  <c r="I28" i="1"/>
  <c r="L29" i="1" s="1"/>
  <c r="G29" i="1"/>
  <c r="I29" i="1"/>
  <c r="L30" i="1" s="1"/>
  <c r="G30" i="1"/>
  <c r="I30" i="1"/>
  <c r="L31" i="1" s="1"/>
  <c r="G31" i="1"/>
  <c r="I31" i="1"/>
  <c r="L32" i="1" s="1"/>
  <c r="G32" i="1"/>
  <c r="I32" i="1"/>
  <c r="F2" i="2"/>
  <c r="F3" i="2"/>
  <c r="F4" i="2"/>
  <c r="F5" i="2"/>
  <c r="F6" i="2"/>
  <c r="F7" i="2"/>
  <c r="F8" i="2"/>
  <c r="F9" i="2"/>
  <c r="F10" i="2"/>
  <c r="F11" i="2"/>
  <c r="F12" i="2"/>
  <c r="F13" i="2"/>
  <c r="M4" i="2"/>
  <c r="N4" i="2" s="1"/>
  <c r="M3" i="2"/>
  <c r="M5" i="2"/>
  <c r="N5" i="2" s="1"/>
  <c r="M6" i="2"/>
  <c r="N6" i="2" s="1"/>
  <c r="M7" i="2"/>
  <c r="N7" i="2" s="1"/>
  <c r="M8" i="2"/>
  <c r="N8" i="2" s="1"/>
  <c r="M9" i="2"/>
  <c r="N9" i="2" s="1"/>
  <c r="M10" i="2"/>
  <c r="M11" i="2"/>
  <c r="N11" i="2" s="1"/>
  <c r="M12" i="2"/>
  <c r="N12" i="2" s="1"/>
  <c r="K6" i="2"/>
  <c r="L6" i="2" s="1"/>
  <c r="K7" i="2"/>
  <c r="L7" i="2" s="1"/>
  <c r="K8" i="2"/>
  <c r="L8" i="2" s="1"/>
  <c r="K9" i="2"/>
  <c r="L9" i="2" s="1"/>
  <c r="K10" i="2"/>
  <c r="L10" i="2" s="1"/>
  <c r="K11" i="2"/>
  <c r="K3" i="2"/>
  <c r="D3" i="2" s="1"/>
  <c r="K4" i="2"/>
  <c r="L4" i="2" s="1"/>
  <c r="B30" i="2"/>
  <c r="B29" i="2"/>
  <c r="B28" i="2"/>
  <c r="B27" i="2"/>
  <c r="B26" i="2"/>
  <c r="B25" i="2"/>
  <c r="B24" i="2"/>
  <c r="B23" i="2"/>
  <c r="B22" i="2"/>
  <c r="B21" i="2"/>
  <c r="B20" i="2"/>
  <c r="B19" i="2"/>
  <c r="M4" i="1" l="1"/>
  <c r="M25" i="1"/>
  <c r="M17" i="1"/>
  <c r="M5" i="1"/>
  <c r="M31" i="1"/>
  <c r="M27" i="1"/>
  <c r="D4" i="1"/>
  <c r="M11" i="1"/>
  <c r="M10" i="1"/>
  <c r="M18" i="1"/>
  <c r="M24" i="1"/>
  <c r="M20" i="1"/>
  <c r="M9" i="1"/>
  <c r="O3" i="1"/>
  <c r="O31" i="1"/>
  <c r="O23" i="1"/>
  <c r="O15" i="1"/>
  <c r="O7" i="1"/>
  <c r="M30" i="1"/>
  <c r="M23" i="1"/>
  <c r="M16" i="1"/>
  <c r="M13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O30" i="1"/>
  <c r="O22" i="1"/>
  <c r="O14" i="1"/>
  <c r="O6" i="1"/>
  <c r="M19" i="1"/>
  <c r="O29" i="1"/>
  <c r="O21" i="1"/>
  <c r="O13" i="1"/>
  <c r="O5" i="1"/>
  <c r="M29" i="1"/>
  <c r="M22" i="1"/>
  <c r="M15" i="1"/>
  <c r="M6" i="1"/>
  <c r="O28" i="1"/>
  <c r="O20" i="1"/>
  <c r="O12" i="1"/>
  <c r="O4" i="1"/>
  <c r="O27" i="1"/>
  <c r="O19" i="1"/>
  <c r="O11" i="1"/>
  <c r="M32" i="1"/>
  <c r="M28" i="1"/>
  <c r="M21" i="1"/>
  <c r="M14" i="1"/>
  <c r="M8" i="1"/>
  <c r="O26" i="1"/>
  <c r="O18" i="1"/>
  <c r="O10" i="1"/>
  <c r="O25" i="1"/>
  <c r="O17" i="1"/>
  <c r="O9" i="1"/>
  <c r="M7" i="1"/>
  <c r="O32" i="1"/>
  <c r="O24" i="1"/>
  <c r="O16" i="1"/>
  <c r="O8" i="1"/>
  <c r="M3" i="1"/>
  <c r="N10" i="2"/>
  <c r="N3" i="2"/>
  <c r="L11" i="2"/>
  <c r="L3" i="2"/>
  <c r="D4" i="2"/>
  <c r="D5" i="2" s="1"/>
  <c r="D6" i="2" s="1"/>
  <c r="D7" i="2" s="1"/>
  <c r="D8" i="2" s="1"/>
  <c r="D9" i="2" s="1"/>
  <c r="D10" i="2" s="1"/>
  <c r="D11" i="2" s="1"/>
  <c r="D12" i="2" s="1"/>
  <c r="D13" i="2" s="1"/>
  <c r="E13" i="2" s="1"/>
  <c r="M13" i="2" s="1"/>
  <c r="N13" i="2" s="1"/>
  <c r="K14" i="2"/>
  <c r="L5" i="2"/>
  <c r="B40" i="1"/>
  <c r="B41" i="1"/>
  <c r="B42" i="1"/>
  <c r="B43" i="1"/>
  <c r="B44" i="1"/>
  <c r="B45" i="1"/>
  <c r="B46" i="1"/>
  <c r="B47" i="1"/>
  <c r="B48" i="1"/>
  <c r="B49" i="1"/>
  <c r="B50" i="1"/>
  <c r="B39" i="1"/>
  <c r="L33" i="1"/>
  <c r="M33" i="1" s="1"/>
  <c r="I33" i="1"/>
  <c r="G33" i="1"/>
  <c r="O33" i="1"/>
  <c r="O34" i="1" l="1"/>
  <c r="N14" i="2"/>
  <c r="M14" i="2"/>
  <c r="L14" i="2"/>
  <c r="L34" i="1"/>
  <c r="N15" i="2" l="1"/>
  <c r="M34" i="1"/>
  <c r="O35" i="1" s="1"/>
</calcChain>
</file>

<file path=xl/sharedStrings.xml><?xml version="1.0" encoding="utf-8"?>
<sst xmlns="http://schemas.openxmlformats.org/spreadsheetml/2006/main" count="39" uniqueCount="21">
  <si>
    <t>events</t>
  </si>
  <si>
    <t>u_t = 0</t>
  </si>
  <si>
    <t>u_t = 1</t>
  </si>
  <si>
    <t>u_t = rand2</t>
  </si>
  <si>
    <t>price</t>
  </si>
  <si>
    <t>n_ev</t>
  </si>
  <si>
    <t>delta_t</t>
  </si>
  <si>
    <t>power</t>
  </si>
  <si>
    <t>action</t>
  </si>
  <si>
    <t>SUM</t>
  </si>
  <si>
    <t>-</t>
  </si>
  <si>
    <t>u_t = opt</t>
  </si>
  <si>
    <t>u_t = rand</t>
  </si>
  <si>
    <t>energy_opt</t>
  </si>
  <si>
    <t>cost_opt</t>
  </si>
  <si>
    <t>energy_rand</t>
  </si>
  <si>
    <t>cost_rand</t>
  </si>
  <si>
    <t>Minimum energy</t>
  </si>
  <si>
    <t>Maximum energy</t>
  </si>
  <si>
    <t>Optimal</t>
  </si>
  <si>
    <t>Fitted Q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</si>
</sst>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5">
    <xf numFmtId="0" fontId="0" fillId="0" borderId="0" xfId="0"/>
    <xf numFmtId="2" fontId="0" fillId="0" borderId="0" xfId="0" applyNumberFormat="1"/>
    <xf numFmtId="0" fontId="0" fillId="0" borderId="2" xfId="0" applyBorder="1"/>
    <xf numFmtId="0" fontId="0" fillId="0" borderId="3" xfId="0" applyBorder="1"/>
    <xf numFmtId="2" fontId="0" fillId="0" borderId="4" xfId="0" applyNumberFormat="1" applyBorder="1"/>
    <xf numFmtId="2" fontId="0" fillId="0" borderId="0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1" fontId="0" fillId="0" borderId="0" xfId="0" applyNumberFormat="1" applyBorder="1"/>
    <xf numFmtId="164" fontId="0" fillId="0" borderId="0" xfId="0" applyNumberFormat="1" applyBorder="1"/>
    <xf numFmtId="1" fontId="0" fillId="0" borderId="7" xfId="0" applyNumberFormat="1" applyBorder="1"/>
    <xf numFmtId="164" fontId="0" fillId="0" borderId="7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9" xfId="0" applyNumberFormat="1" applyBorder="1"/>
    <xf numFmtId="2" fontId="0" fillId="0" borderId="10" xfId="0" applyNumberFormat="1" applyBorder="1"/>
    <xf numFmtId="10" fontId="2" fillId="3" borderId="1" xfId="2" applyNumberFormat="1" applyBorder="1"/>
    <xf numFmtId="2" fontId="2" fillId="3" borderId="1" xfId="2" applyNumberFormat="1" applyBorder="1"/>
    <xf numFmtId="2" fontId="1" fillId="2" borderId="1" xfId="1" applyNumberFormat="1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0" fontId="2" fillId="3" borderId="3" xfId="2" applyNumberFormat="1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'Succesful non-et test'!$B$1</c:f>
              <c:strCache>
                <c:ptCount val="1"/>
                <c:pt idx="0">
                  <c:v>u_t = 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'Succesful non-et test'!$A$2:$A$13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xVal>
          <c:yVal>
            <c:numRef>
              <c:f>'Succesful non-et test'!$B$2:$B$13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5.5460000000000003</c:v>
                </c:pt>
                <c:pt idx="6">
                  <c:v>16.178999999999998</c:v>
                </c:pt>
                <c:pt idx="7">
                  <c:v>33.500999999999998</c:v>
                </c:pt>
                <c:pt idx="8">
                  <c:v>59.371000000000002</c:v>
                </c:pt>
                <c:pt idx="9">
                  <c:v>89.04</c:v>
                </c:pt>
                <c:pt idx="10">
                  <c:v>120.05</c:v>
                </c:pt>
                <c:pt idx="11">
                  <c:v>128.41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B6-47BF-AB2E-3508D26A55B8}"/>
            </c:ext>
          </c:extLst>
        </c:ser>
        <c:ser>
          <c:idx val="1"/>
          <c:order val="1"/>
          <c:tx>
            <c:strRef>
              <c:f>'Succesful non-et test'!$C$1</c:f>
              <c:strCache>
                <c:ptCount val="1"/>
                <c:pt idx="0">
                  <c:v>u_t =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'Succesful non-et test'!$A$2:$A$13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xVal>
          <c:yVal>
            <c:numRef>
              <c:f>'Succesful non-et test'!$C$2:$C$13</c:f>
              <c:numCache>
                <c:formatCode>0.00</c:formatCode>
                <c:ptCount val="12"/>
                <c:pt idx="0">
                  <c:v>0</c:v>
                </c:pt>
                <c:pt idx="1">
                  <c:v>2.032</c:v>
                </c:pt>
                <c:pt idx="2">
                  <c:v>21.22</c:v>
                </c:pt>
                <c:pt idx="3">
                  <c:v>52.731999999999999</c:v>
                </c:pt>
                <c:pt idx="4">
                  <c:v>79.132000000000005</c:v>
                </c:pt>
                <c:pt idx="5">
                  <c:v>103.31</c:v>
                </c:pt>
                <c:pt idx="6">
                  <c:v>119.13</c:v>
                </c:pt>
                <c:pt idx="7">
                  <c:v>125.048</c:v>
                </c:pt>
                <c:pt idx="8">
                  <c:v>128.34800000000001</c:v>
                </c:pt>
                <c:pt idx="9">
                  <c:v>128.41</c:v>
                </c:pt>
                <c:pt idx="10">
                  <c:v>128.41</c:v>
                </c:pt>
                <c:pt idx="11">
                  <c:v>128.41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B6-47BF-AB2E-3508D26A55B8}"/>
            </c:ext>
          </c:extLst>
        </c:ser>
        <c:ser>
          <c:idx val="3"/>
          <c:order val="2"/>
          <c:tx>
            <c:strRef>
              <c:f>'Succesful non-et test'!$D$1</c:f>
              <c:strCache>
                <c:ptCount val="1"/>
                <c:pt idx="0">
                  <c:v>u_t = opt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'Succesful non-et test'!$A$2:$A$13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xVal>
          <c:yVal>
            <c:numRef>
              <c:f>'Succesful non-et test'!$D$2:$D$13</c:f>
              <c:numCache>
                <c:formatCode>0.00</c:formatCode>
                <c:ptCount val="12"/>
                <c:pt idx="0">
                  <c:v>0</c:v>
                </c:pt>
                <c:pt idx="1">
                  <c:v>2.0311500000000002</c:v>
                </c:pt>
                <c:pt idx="2">
                  <c:v>2.0311500000000002</c:v>
                </c:pt>
                <c:pt idx="3">
                  <c:v>2.0311500000000002</c:v>
                </c:pt>
                <c:pt idx="4">
                  <c:v>35.031149999999997</c:v>
                </c:pt>
                <c:pt idx="5">
                  <c:v>54.045749999999998</c:v>
                </c:pt>
                <c:pt idx="6">
                  <c:v>54.045749999999998</c:v>
                </c:pt>
                <c:pt idx="7">
                  <c:v>87.045749999999998</c:v>
                </c:pt>
                <c:pt idx="8">
                  <c:v>120.04575</c:v>
                </c:pt>
                <c:pt idx="9">
                  <c:v>120.04575</c:v>
                </c:pt>
                <c:pt idx="10">
                  <c:v>120.04575</c:v>
                </c:pt>
                <c:pt idx="11">
                  <c:v>128.40795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B6-47BF-AB2E-3508D26A55B8}"/>
            </c:ext>
          </c:extLst>
        </c:ser>
        <c:ser>
          <c:idx val="4"/>
          <c:order val="3"/>
          <c:tx>
            <c:strRef>
              <c:f>'Succesful non-et test'!$E$1</c:f>
              <c:strCache>
                <c:ptCount val="1"/>
                <c:pt idx="0">
                  <c:v>u_t = rand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'Succesful non-et test'!$A$2:$A$13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xVal>
          <c:yVal>
            <c:numRef>
              <c:f>'Succesful non-et test'!$E$2:$E$13</c:f>
              <c:numCache>
                <c:formatCode>0.00</c:formatCode>
                <c:ptCount val="12"/>
                <c:pt idx="0">
                  <c:v>0</c:v>
                </c:pt>
                <c:pt idx="1">
                  <c:v>2.0299999999999998</c:v>
                </c:pt>
                <c:pt idx="2">
                  <c:v>2.0299999999999998</c:v>
                </c:pt>
                <c:pt idx="3">
                  <c:v>8.6300000000000008</c:v>
                </c:pt>
                <c:pt idx="4">
                  <c:v>41.63</c:v>
                </c:pt>
                <c:pt idx="5">
                  <c:v>74.63</c:v>
                </c:pt>
                <c:pt idx="6">
                  <c:v>74.63</c:v>
                </c:pt>
                <c:pt idx="7">
                  <c:v>87.83</c:v>
                </c:pt>
                <c:pt idx="8">
                  <c:v>120.83</c:v>
                </c:pt>
                <c:pt idx="9">
                  <c:v>120.83</c:v>
                </c:pt>
                <c:pt idx="10">
                  <c:v>120.83</c:v>
                </c:pt>
                <c:pt idx="11">
                  <c:v>128.40795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B6-47BF-AB2E-3508D26A5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042160"/>
        <c:axId val="1914576400"/>
      </c:scatterChart>
      <c:valAx>
        <c:axId val="1925042160"/>
        <c:scaling>
          <c:orientation val="minMax"/>
          <c:max val="19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576400"/>
        <c:crosses val="autoZero"/>
        <c:crossBetween val="midCat"/>
      </c:valAx>
      <c:valAx>
        <c:axId val="191457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42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'Succesful non-et test'!$A$19:$A$30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xVal>
          <c:yVal>
            <c:numRef>
              <c:f>'Succesful non-et test'!$B$19:$B$30</c:f>
              <c:numCache>
                <c:formatCode>General</c:formatCode>
                <c:ptCount val="12"/>
                <c:pt idx="0">
                  <c:v>20.674873460355219</c:v>
                </c:pt>
                <c:pt idx="1">
                  <c:v>32.277055962836144</c:v>
                </c:pt>
                <c:pt idx="2">
                  <c:v>27.253860454731441</c:v>
                </c:pt>
                <c:pt idx="3">
                  <c:v>17.081428464952541</c:v>
                </c:pt>
                <c:pt idx="4">
                  <c:v>24.999999999999993</c:v>
                </c:pt>
                <c:pt idx="5">
                  <c:v>32.918571535047462</c:v>
                </c:pt>
                <c:pt idx="6">
                  <c:v>22.746139545268584</c:v>
                </c:pt>
                <c:pt idx="7">
                  <c:v>17.722944037163852</c:v>
                </c:pt>
                <c:pt idx="8">
                  <c:v>29.325126539644771</c:v>
                </c:pt>
                <c:pt idx="9">
                  <c:v>31.045996594834079</c:v>
                </c:pt>
                <c:pt idx="10">
                  <c:v>18.954003405165953</c:v>
                </c:pt>
                <c:pt idx="11">
                  <c:v>20.674873460355215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0E-41C2-BA41-348F669C6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06704"/>
        <c:axId val="2108190864"/>
      </c:scatterChart>
      <c:valAx>
        <c:axId val="95806704"/>
        <c:scaling>
          <c:orientation val="minMax"/>
          <c:max val="19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90864"/>
        <c:crosses val="autoZero"/>
        <c:crossBetween val="midCat"/>
      </c:valAx>
      <c:valAx>
        <c:axId val="2108190864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06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EV Fleet Charging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'et test'!$B$1</c:f>
              <c:strCache>
                <c:ptCount val="1"/>
                <c:pt idx="0">
                  <c:v>Minimum energy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'et test'!$A$2:$A$33</c:f>
              <c:numCache>
                <c:formatCode>General</c:formatCode>
                <c:ptCount val="32"/>
                <c:pt idx="0">
                  <c:v>7</c:v>
                </c:pt>
                <c:pt idx="1">
                  <c:v>7.33</c:v>
                </c:pt>
                <c:pt idx="2">
                  <c:v>7.51</c:v>
                </c:pt>
                <c:pt idx="3">
                  <c:v>7.65</c:v>
                </c:pt>
                <c:pt idx="4">
                  <c:v>7.75</c:v>
                </c:pt>
                <c:pt idx="5">
                  <c:v>7.78</c:v>
                </c:pt>
                <c:pt idx="6">
                  <c:v>8</c:v>
                </c:pt>
                <c:pt idx="7">
                  <c:v>8.3000000000000007</c:v>
                </c:pt>
                <c:pt idx="8">
                  <c:v>8.3800000000000008</c:v>
                </c:pt>
                <c:pt idx="9">
                  <c:v>8.69</c:v>
                </c:pt>
                <c:pt idx="10">
                  <c:v>8.9600000000000009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11.36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14.81</c:v>
                </c:pt>
                <c:pt idx="19">
                  <c:v>14.82</c:v>
                </c:pt>
                <c:pt idx="20">
                  <c:v>14.92</c:v>
                </c:pt>
                <c:pt idx="21">
                  <c:v>15</c:v>
                </c:pt>
                <c:pt idx="22">
                  <c:v>15.11</c:v>
                </c:pt>
                <c:pt idx="23">
                  <c:v>15.23</c:v>
                </c:pt>
                <c:pt idx="24">
                  <c:v>15.43</c:v>
                </c:pt>
                <c:pt idx="25">
                  <c:v>16</c:v>
                </c:pt>
                <c:pt idx="26">
                  <c:v>16.11</c:v>
                </c:pt>
                <c:pt idx="27">
                  <c:v>16.97</c:v>
                </c:pt>
                <c:pt idx="28">
                  <c:v>17</c:v>
                </c:pt>
                <c:pt idx="29">
                  <c:v>17.43</c:v>
                </c:pt>
                <c:pt idx="30">
                  <c:v>17.48</c:v>
                </c:pt>
                <c:pt idx="31">
                  <c:v>18</c:v>
                </c:pt>
              </c:numCache>
            </c:numRef>
          </c:xVal>
          <c:yVal>
            <c:numRef>
              <c:f>'et test'!$B$2:$B$33</c:f>
              <c:numCache>
                <c:formatCode>0.00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0.73</c:v>
                </c:pt>
                <c:pt idx="14">
                  <c:v>2.78</c:v>
                </c:pt>
                <c:pt idx="15">
                  <c:v>10.039999999999999</c:v>
                </c:pt>
                <c:pt idx="16">
                  <c:v>26.0399999999999</c:v>
                </c:pt>
                <c:pt idx="17">
                  <c:v>51.75</c:v>
                </c:pt>
                <c:pt idx="18">
                  <c:v>74.89</c:v>
                </c:pt>
                <c:pt idx="19">
                  <c:v>75.19</c:v>
                </c:pt>
                <c:pt idx="20">
                  <c:v>77.83</c:v>
                </c:pt>
                <c:pt idx="21">
                  <c:v>79.66</c:v>
                </c:pt>
                <c:pt idx="22">
                  <c:v>82.21</c:v>
                </c:pt>
                <c:pt idx="23">
                  <c:v>84.58</c:v>
                </c:pt>
                <c:pt idx="24">
                  <c:v>87.88</c:v>
                </c:pt>
                <c:pt idx="25">
                  <c:v>95.399999999999906</c:v>
                </c:pt>
                <c:pt idx="26">
                  <c:v>96.85</c:v>
                </c:pt>
                <c:pt idx="27">
                  <c:v>105.37</c:v>
                </c:pt>
                <c:pt idx="28">
                  <c:v>105.57</c:v>
                </c:pt>
                <c:pt idx="29">
                  <c:v>108.41</c:v>
                </c:pt>
                <c:pt idx="30">
                  <c:v>108.57</c:v>
                </c:pt>
                <c:pt idx="31">
                  <c:v>108.57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4B-413C-A6C8-DCAA0A6944DA}"/>
            </c:ext>
          </c:extLst>
        </c:ser>
        <c:ser>
          <c:idx val="1"/>
          <c:order val="1"/>
          <c:tx>
            <c:strRef>
              <c:f>'et test'!$C$1</c:f>
              <c:strCache>
                <c:ptCount val="1"/>
                <c:pt idx="0">
                  <c:v>Maximum energy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'et test'!$A$2:$A$33</c:f>
              <c:numCache>
                <c:formatCode>General</c:formatCode>
                <c:ptCount val="32"/>
                <c:pt idx="0">
                  <c:v>7</c:v>
                </c:pt>
                <c:pt idx="1">
                  <c:v>7.33</c:v>
                </c:pt>
                <c:pt idx="2">
                  <c:v>7.51</c:v>
                </c:pt>
                <c:pt idx="3">
                  <c:v>7.65</c:v>
                </c:pt>
                <c:pt idx="4">
                  <c:v>7.75</c:v>
                </c:pt>
                <c:pt idx="5">
                  <c:v>7.78</c:v>
                </c:pt>
                <c:pt idx="6">
                  <c:v>8</c:v>
                </c:pt>
                <c:pt idx="7">
                  <c:v>8.3000000000000007</c:v>
                </c:pt>
                <c:pt idx="8">
                  <c:v>8.3800000000000008</c:v>
                </c:pt>
                <c:pt idx="9">
                  <c:v>8.69</c:v>
                </c:pt>
                <c:pt idx="10">
                  <c:v>8.9600000000000009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11.36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14.81</c:v>
                </c:pt>
                <c:pt idx="19">
                  <c:v>14.82</c:v>
                </c:pt>
                <c:pt idx="20">
                  <c:v>14.92</c:v>
                </c:pt>
                <c:pt idx="21">
                  <c:v>15</c:v>
                </c:pt>
                <c:pt idx="22">
                  <c:v>15.11</c:v>
                </c:pt>
                <c:pt idx="23">
                  <c:v>15.23</c:v>
                </c:pt>
                <c:pt idx="24">
                  <c:v>15.43</c:v>
                </c:pt>
                <c:pt idx="25">
                  <c:v>16</c:v>
                </c:pt>
                <c:pt idx="26">
                  <c:v>16.11</c:v>
                </c:pt>
                <c:pt idx="27">
                  <c:v>16.97</c:v>
                </c:pt>
                <c:pt idx="28">
                  <c:v>17</c:v>
                </c:pt>
                <c:pt idx="29">
                  <c:v>17.43</c:v>
                </c:pt>
                <c:pt idx="30">
                  <c:v>17.48</c:v>
                </c:pt>
                <c:pt idx="31">
                  <c:v>18</c:v>
                </c:pt>
              </c:numCache>
            </c:numRef>
          </c:xVal>
          <c:yVal>
            <c:numRef>
              <c:f>'et test'!$C$2:$C$33</c:f>
              <c:numCache>
                <c:formatCode>0.00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0.59</c:v>
                </c:pt>
                <c:pt idx="3">
                  <c:v>1.52</c:v>
                </c:pt>
                <c:pt idx="4">
                  <c:v>2.5099999999999998</c:v>
                </c:pt>
                <c:pt idx="5">
                  <c:v>2.91</c:v>
                </c:pt>
                <c:pt idx="6">
                  <c:v>6.53</c:v>
                </c:pt>
                <c:pt idx="7">
                  <c:v>11.5</c:v>
                </c:pt>
                <c:pt idx="8">
                  <c:v>13.07</c:v>
                </c:pt>
                <c:pt idx="9">
                  <c:v>20.22</c:v>
                </c:pt>
                <c:pt idx="10">
                  <c:v>27.35</c:v>
                </c:pt>
                <c:pt idx="11">
                  <c:v>28.54</c:v>
                </c:pt>
                <c:pt idx="12">
                  <c:v>56.99</c:v>
                </c:pt>
                <c:pt idx="13">
                  <c:v>81.709999999999994</c:v>
                </c:pt>
                <c:pt idx="14">
                  <c:v>87.399999999999906</c:v>
                </c:pt>
                <c:pt idx="15">
                  <c:v>95.649999999999906</c:v>
                </c:pt>
                <c:pt idx="16">
                  <c:v>101.57</c:v>
                </c:pt>
                <c:pt idx="17">
                  <c:v>104.869999999999</c:v>
                </c:pt>
                <c:pt idx="18">
                  <c:v>107.55</c:v>
                </c:pt>
                <c:pt idx="19">
                  <c:v>107.58</c:v>
                </c:pt>
                <c:pt idx="20">
                  <c:v>107.91</c:v>
                </c:pt>
                <c:pt idx="21">
                  <c:v>108.17</c:v>
                </c:pt>
                <c:pt idx="22">
                  <c:v>108.54</c:v>
                </c:pt>
                <c:pt idx="23">
                  <c:v>108.57</c:v>
                </c:pt>
                <c:pt idx="24">
                  <c:v>108.57</c:v>
                </c:pt>
                <c:pt idx="25">
                  <c:v>108.57</c:v>
                </c:pt>
                <c:pt idx="26">
                  <c:v>108.57</c:v>
                </c:pt>
                <c:pt idx="27">
                  <c:v>108.57</c:v>
                </c:pt>
                <c:pt idx="28">
                  <c:v>108.57</c:v>
                </c:pt>
                <c:pt idx="29">
                  <c:v>108.57</c:v>
                </c:pt>
                <c:pt idx="30">
                  <c:v>108.57</c:v>
                </c:pt>
                <c:pt idx="31">
                  <c:v>108.57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4B-413C-A6C8-DCAA0A6944DA}"/>
            </c:ext>
          </c:extLst>
        </c:ser>
        <c:ser>
          <c:idx val="3"/>
          <c:order val="2"/>
          <c:tx>
            <c:strRef>
              <c:f>'et test'!$D$1</c:f>
              <c:strCache>
                <c:ptCount val="1"/>
                <c:pt idx="0">
                  <c:v>Optimal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'et test'!$A$2:$A$33</c:f>
              <c:numCache>
                <c:formatCode>General</c:formatCode>
                <c:ptCount val="32"/>
                <c:pt idx="0">
                  <c:v>7</c:v>
                </c:pt>
                <c:pt idx="1">
                  <c:v>7.33</c:v>
                </c:pt>
                <c:pt idx="2">
                  <c:v>7.51</c:v>
                </c:pt>
                <c:pt idx="3">
                  <c:v>7.65</c:v>
                </c:pt>
                <c:pt idx="4">
                  <c:v>7.75</c:v>
                </c:pt>
                <c:pt idx="5">
                  <c:v>7.78</c:v>
                </c:pt>
                <c:pt idx="6">
                  <c:v>8</c:v>
                </c:pt>
                <c:pt idx="7">
                  <c:v>8.3000000000000007</c:v>
                </c:pt>
                <c:pt idx="8">
                  <c:v>8.3800000000000008</c:v>
                </c:pt>
                <c:pt idx="9">
                  <c:v>8.69</c:v>
                </c:pt>
                <c:pt idx="10">
                  <c:v>8.9600000000000009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11.36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14.81</c:v>
                </c:pt>
                <c:pt idx="19">
                  <c:v>14.82</c:v>
                </c:pt>
                <c:pt idx="20">
                  <c:v>14.92</c:v>
                </c:pt>
                <c:pt idx="21">
                  <c:v>15</c:v>
                </c:pt>
                <c:pt idx="22">
                  <c:v>15.11</c:v>
                </c:pt>
                <c:pt idx="23">
                  <c:v>15.23</c:v>
                </c:pt>
                <c:pt idx="24">
                  <c:v>15.43</c:v>
                </c:pt>
                <c:pt idx="25">
                  <c:v>16</c:v>
                </c:pt>
                <c:pt idx="26">
                  <c:v>16.11</c:v>
                </c:pt>
                <c:pt idx="27">
                  <c:v>16.97</c:v>
                </c:pt>
                <c:pt idx="28">
                  <c:v>17</c:v>
                </c:pt>
                <c:pt idx="29">
                  <c:v>17.43</c:v>
                </c:pt>
                <c:pt idx="30">
                  <c:v>17.48</c:v>
                </c:pt>
                <c:pt idx="31">
                  <c:v>18</c:v>
                </c:pt>
              </c:numCache>
            </c:numRef>
          </c:xVal>
          <c:yVal>
            <c:numRef>
              <c:f>'et test'!$D$2:$D$33</c:f>
              <c:numCache>
                <c:formatCode>0.00</c:formatCode>
                <c:ptCount val="32"/>
                <c:pt idx="0" formatCode="General">
                  <c:v>0</c:v>
                </c:pt>
                <c:pt idx="1">
                  <c:v>0</c:v>
                </c:pt>
                <c:pt idx="2">
                  <c:v>0.59399999999999908</c:v>
                </c:pt>
                <c:pt idx="3">
                  <c:v>1.5180000000000029</c:v>
                </c:pt>
                <c:pt idx="4">
                  <c:v>2.5079999999999991</c:v>
                </c:pt>
                <c:pt idx="5">
                  <c:v>2.9040000000000026</c:v>
                </c:pt>
                <c:pt idx="6">
                  <c:v>6.5339999999999989</c:v>
                </c:pt>
                <c:pt idx="7">
                  <c:v>6.5339999999999989</c:v>
                </c:pt>
                <c:pt idx="8">
                  <c:v>6.5339999999999989</c:v>
                </c:pt>
                <c:pt idx="9">
                  <c:v>6.5339999999999989</c:v>
                </c:pt>
                <c:pt idx="10">
                  <c:v>6.5339999999999989</c:v>
                </c:pt>
                <c:pt idx="11">
                  <c:v>6.5339999999999989</c:v>
                </c:pt>
                <c:pt idx="12">
                  <c:v>6.5339999999999989</c:v>
                </c:pt>
                <c:pt idx="13">
                  <c:v>36.233999999999995</c:v>
                </c:pt>
                <c:pt idx="14">
                  <c:v>41.045399999999987</c:v>
                </c:pt>
                <c:pt idx="15">
                  <c:v>41.045399999999987</c:v>
                </c:pt>
                <c:pt idx="16">
                  <c:v>41.045399999999987</c:v>
                </c:pt>
                <c:pt idx="17">
                  <c:v>74.045399999999987</c:v>
                </c:pt>
                <c:pt idx="18">
                  <c:v>100.7754</c:v>
                </c:pt>
                <c:pt idx="19">
                  <c:v>101.0724</c:v>
                </c:pt>
                <c:pt idx="20">
                  <c:v>103.71239999999999</c:v>
                </c:pt>
                <c:pt idx="21">
                  <c:v>105.56039999999999</c:v>
                </c:pt>
                <c:pt idx="22">
                  <c:v>105.56039999999999</c:v>
                </c:pt>
                <c:pt idx="23">
                  <c:v>105.56039999999999</c:v>
                </c:pt>
                <c:pt idx="24">
                  <c:v>105.56039999999999</c:v>
                </c:pt>
                <c:pt idx="25">
                  <c:v>105.56039999999999</c:v>
                </c:pt>
                <c:pt idx="26">
                  <c:v>105.56039999999999</c:v>
                </c:pt>
                <c:pt idx="27">
                  <c:v>105.56039999999999</c:v>
                </c:pt>
                <c:pt idx="28">
                  <c:v>105.56039999999999</c:v>
                </c:pt>
                <c:pt idx="29">
                  <c:v>108.39839999999998</c:v>
                </c:pt>
                <c:pt idx="30">
                  <c:v>108.56339999999999</c:v>
                </c:pt>
                <c:pt idx="31">
                  <c:v>108.57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4B-413C-A6C8-DCAA0A6944DA}"/>
            </c:ext>
          </c:extLst>
        </c:ser>
        <c:ser>
          <c:idx val="4"/>
          <c:order val="3"/>
          <c:tx>
            <c:strRef>
              <c:f>'et test'!$E$1</c:f>
              <c:strCache>
                <c:ptCount val="1"/>
                <c:pt idx="0">
                  <c:v>Fitted Q iteration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'et test'!$A$2:$A$33</c:f>
              <c:numCache>
                <c:formatCode>General</c:formatCode>
                <c:ptCount val="32"/>
                <c:pt idx="0">
                  <c:v>7</c:v>
                </c:pt>
                <c:pt idx="1">
                  <c:v>7.33</c:v>
                </c:pt>
                <c:pt idx="2">
                  <c:v>7.51</c:v>
                </c:pt>
                <c:pt idx="3">
                  <c:v>7.65</c:v>
                </c:pt>
                <c:pt idx="4">
                  <c:v>7.75</c:v>
                </c:pt>
                <c:pt idx="5">
                  <c:v>7.78</c:v>
                </c:pt>
                <c:pt idx="6">
                  <c:v>8</c:v>
                </c:pt>
                <c:pt idx="7">
                  <c:v>8.3000000000000007</c:v>
                </c:pt>
                <c:pt idx="8">
                  <c:v>8.3800000000000008</c:v>
                </c:pt>
                <c:pt idx="9">
                  <c:v>8.69</c:v>
                </c:pt>
                <c:pt idx="10">
                  <c:v>8.9600000000000009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11.36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14.81</c:v>
                </c:pt>
                <c:pt idx="19">
                  <c:v>14.82</c:v>
                </c:pt>
                <c:pt idx="20">
                  <c:v>14.92</c:v>
                </c:pt>
                <c:pt idx="21">
                  <c:v>15</c:v>
                </c:pt>
                <c:pt idx="22">
                  <c:v>15.11</c:v>
                </c:pt>
                <c:pt idx="23">
                  <c:v>15.23</c:v>
                </c:pt>
                <c:pt idx="24">
                  <c:v>15.43</c:v>
                </c:pt>
                <c:pt idx="25">
                  <c:v>16</c:v>
                </c:pt>
                <c:pt idx="26">
                  <c:v>16.11</c:v>
                </c:pt>
                <c:pt idx="27">
                  <c:v>16.97</c:v>
                </c:pt>
                <c:pt idx="28">
                  <c:v>17</c:v>
                </c:pt>
                <c:pt idx="29">
                  <c:v>17.43</c:v>
                </c:pt>
                <c:pt idx="30">
                  <c:v>17.48</c:v>
                </c:pt>
                <c:pt idx="31">
                  <c:v>18</c:v>
                </c:pt>
              </c:numCache>
            </c:numRef>
          </c:xVal>
          <c:yVal>
            <c:numRef>
              <c:f>'et test'!$E$2:$E$33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0.42</c:v>
                </c:pt>
                <c:pt idx="3">
                  <c:v>0.88</c:v>
                </c:pt>
                <c:pt idx="4">
                  <c:v>0.98</c:v>
                </c:pt>
                <c:pt idx="5">
                  <c:v>1.1000000000000001</c:v>
                </c:pt>
                <c:pt idx="6" formatCode="0.00">
                  <c:v>1.1000000000000001</c:v>
                </c:pt>
                <c:pt idx="7" formatCode="0.00">
                  <c:v>1.1000000000000001</c:v>
                </c:pt>
                <c:pt idx="8" formatCode="0.00">
                  <c:v>1.1000000000000001</c:v>
                </c:pt>
                <c:pt idx="9" formatCode="0.00">
                  <c:v>1.1000000000000001</c:v>
                </c:pt>
                <c:pt idx="10">
                  <c:v>1.1000000000000001</c:v>
                </c:pt>
                <c:pt idx="11">
                  <c:v>1.1000000000000001</c:v>
                </c:pt>
                <c:pt idx="12">
                  <c:v>1.1000000000000001</c:v>
                </c:pt>
                <c:pt idx="13">
                  <c:v>24.86</c:v>
                </c:pt>
                <c:pt idx="14">
                  <c:v>33.409999999999997</c:v>
                </c:pt>
                <c:pt idx="15">
                  <c:v>52.42</c:v>
                </c:pt>
                <c:pt idx="16">
                  <c:v>55.72</c:v>
                </c:pt>
                <c:pt idx="17">
                  <c:v>75.52</c:v>
                </c:pt>
                <c:pt idx="18">
                  <c:v>102.25</c:v>
                </c:pt>
                <c:pt idx="19">
                  <c:v>102.52</c:v>
                </c:pt>
                <c:pt idx="20">
                  <c:v>104.9</c:v>
                </c:pt>
                <c:pt idx="21">
                  <c:v>106.75</c:v>
                </c:pt>
                <c:pt idx="22">
                  <c:v>108.53</c:v>
                </c:pt>
                <c:pt idx="23">
                  <c:v>108.57</c:v>
                </c:pt>
                <c:pt idx="24">
                  <c:v>108.57</c:v>
                </c:pt>
                <c:pt idx="25">
                  <c:v>108.57</c:v>
                </c:pt>
                <c:pt idx="26">
                  <c:v>108.57</c:v>
                </c:pt>
                <c:pt idx="27">
                  <c:v>108.57</c:v>
                </c:pt>
                <c:pt idx="28">
                  <c:v>108.57</c:v>
                </c:pt>
                <c:pt idx="29">
                  <c:v>108.57</c:v>
                </c:pt>
                <c:pt idx="30">
                  <c:v>108.57</c:v>
                </c:pt>
                <c:pt idx="31" formatCode="0.00">
                  <c:v>108.57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4B-413C-A6C8-DCAA0A694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042160"/>
        <c:axId val="1914576400"/>
      </c:scatterChart>
      <c:valAx>
        <c:axId val="1925042160"/>
        <c:scaling>
          <c:orientation val="minMax"/>
          <c:max val="19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576400"/>
        <c:crosses val="autoZero"/>
        <c:crossBetween val="midCat"/>
      </c:valAx>
      <c:valAx>
        <c:axId val="191457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 of Charge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42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'et test'!$A$39:$A$50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xVal>
          <c:yVal>
            <c:numRef>
              <c:f>'et test'!$B$39:$B$50</c:f>
              <c:numCache>
                <c:formatCode>General</c:formatCode>
                <c:ptCount val="12"/>
                <c:pt idx="0">
                  <c:v>20.674873460355219</c:v>
                </c:pt>
                <c:pt idx="1">
                  <c:v>32.277055962836144</c:v>
                </c:pt>
                <c:pt idx="2">
                  <c:v>27.253860454731441</c:v>
                </c:pt>
                <c:pt idx="3">
                  <c:v>17.081428464952541</c:v>
                </c:pt>
                <c:pt idx="4">
                  <c:v>24.999999999999993</c:v>
                </c:pt>
                <c:pt idx="5">
                  <c:v>32.918571535047462</c:v>
                </c:pt>
                <c:pt idx="6">
                  <c:v>22.746139545268584</c:v>
                </c:pt>
                <c:pt idx="7">
                  <c:v>17.722944037163852</c:v>
                </c:pt>
                <c:pt idx="8">
                  <c:v>29.325126539644771</c:v>
                </c:pt>
                <c:pt idx="9">
                  <c:v>31.045996594834079</c:v>
                </c:pt>
                <c:pt idx="10">
                  <c:v>18.954003405165953</c:v>
                </c:pt>
                <c:pt idx="11">
                  <c:v>20.674873460355215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C1-41ED-8148-10AC47179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06704"/>
        <c:axId val="2108190864"/>
      </c:scatterChart>
      <c:valAx>
        <c:axId val="95806704"/>
        <c:scaling>
          <c:orientation val="minMax"/>
          <c:max val="19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90864"/>
        <c:crosses val="autoZero"/>
        <c:crossBetween val="midCat"/>
      </c:valAx>
      <c:valAx>
        <c:axId val="2108190864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06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</xdr:row>
      <xdr:rowOff>0</xdr:rowOff>
    </xdr:from>
    <xdr:to>
      <xdr:col>13</xdr:col>
      <xdr:colOff>487680</xdr:colOff>
      <xdr:row>38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B9075A-F9EF-4F92-BE08-C1BBB36A1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39</xdr:row>
      <xdr:rowOff>0</xdr:rowOff>
    </xdr:from>
    <xdr:to>
      <xdr:col>13</xdr:col>
      <xdr:colOff>487680</xdr:colOff>
      <xdr:row>50</xdr:row>
      <xdr:rowOff>47520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82FC7E8-2791-4FEC-A0BC-4F980D94A6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36</xdr:row>
      <xdr:rowOff>0</xdr:rowOff>
    </xdr:from>
    <xdr:to>
      <xdr:col>14</xdr:col>
      <xdr:colOff>487680</xdr:colOff>
      <xdr:row>58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523F74-0D52-40CD-AE05-14E7070F0D2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59</xdr:row>
      <xdr:rowOff>0</xdr:rowOff>
    </xdr:from>
    <xdr:to>
      <xdr:col>14</xdr:col>
      <xdr:colOff>487680</xdr:colOff>
      <xdr:row>70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E3F63F-F447-4B36-BA3D-BDD23B135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94E4-425B-437B-B2D9-05B3445999AC}">
  <dimension ref="A1:N30"/>
  <sheetViews>
    <sheetView workbookViewId="0"/>
  </sheetViews>
  <sheetFormatPr defaultRowHeight="14.4" x14ac:dyDescent="0.3"/>
  <cols>
    <col min="6" max="9" width="8.88671875" customWidth="1"/>
    <col min="11" max="11" width="9.5546875" bestFit="1" customWidth="1"/>
    <col min="12" max="12" width="10.5546875" bestFit="1" customWidth="1"/>
    <col min="13" max="14" width="10.5546875" customWidth="1"/>
  </cols>
  <sheetData>
    <row r="1" spans="1:14" ht="15" thickBot="1" x14ac:dyDescent="0.35">
      <c r="A1" s="15" t="s">
        <v>0</v>
      </c>
      <c r="B1" s="16" t="s">
        <v>1</v>
      </c>
      <c r="C1" s="17" t="s">
        <v>2</v>
      </c>
      <c r="D1" s="17" t="s">
        <v>11</v>
      </c>
      <c r="E1" s="18" t="s">
        <v>12</v>
      </c>
      <c r="F1" s="16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6" t="s">
        <v>13</v>
      </c>
      <c r="L1" s="18" t="s">
        <v>14</v>
      </c>
      <c r="M1" s="17" t="s">
        <v>15</v>
      </c>
      <c r="N1" s="18" t="s">
        <v>16</v>
      </c>
    </row>
    <row r="2" spans="1:14" x14ac:dyDescent="0.3">
      <c r="A2" s="2">
        <v>7</v>
      </c>
      <c r="B2" s="4">
        <v>0</v>
      </c>
      <c r="C2" s="5">
        <v>0</v>
      </c>
      <c r="D2" s="5">
        <v>0</v>
      </c>
      <c r="E2" s="6">
        <v>0</v>
      </c>
      <c r="F2" s="4">
        <f t="shared" ref="F2:F13" si="0">25 + 8 * SIN(12 *PI()*ROUNDDOWN(A2,0)/ 22)</f>
        <v>20.674873460355219</v>
      </c>
      <c r="G2" s="10">
        <v>1</v>
      </c>
      <c r="H2" s="10">
        <f t="shared" ref="H2:H15" si="1">A3-A2</f>
        <v>1</v>
      </c>
      <c r="I2" s="11">
        <v>3.3</v>
      </c>
      <c r="J2" s="11">
        <v>0.61550000000000005</v>
      </c>
      <c r="K2" s="29" t="s">
        <v>10</v>
      </c>
      <c r="L2" s="30" t="s">
        <v>10</v>
      </c>
      <c r="M2" s="31" t="s">
        <v>10</v>
      </c>
      <c r="N2" s="30" t="s">
        <v>10</v>
      </c>
    </row>
    <row r="3" spans="1:14" x14ac:dyDescent="0.3">
      <c r="A3" s="2">
        <v>8</v>
      </c>
      <c r="B3" s="4">
        <v>0</v>
      </c>
      <c r="C3" s="5">
        <v>2.032</v>
      </c>
      <c r="D3" s="5">
        <f>D2+K3</f>
        <v>2.0311500000000002</v>
      </c>
      <c r="E3" s="6">
        <v>2.0299999999999998</v>
      </c>
      <c r="F3" s="4">
        <f t="shared" si="0"/>
        <v>32.277055962836144</v>
      </c>
      <c r="G3" s="10">
        <v>10</v>
      </c>
      <c r="H3" s="10">
        <f t="shared" si="1"/>
        <v>1</v>
      </c>
      <c r="I3" s="11">
        <v>3.3</v>
      </c>
      <c r="J3" s="11">
        <v>0</v>
      </c>
      <c r="K3" s="4">
        <f t="shared" ref="K3:K13" si="2">G2*H2*I2*J2</f>
        <v>2.0311500000000002</v>
      </c>
      <c r="L3" s="6">
        <f>K3*F2</f>
        <v>41.993769229000506</v>
      </c>
      <c r="M3" s="5">
        <f>E3-E2</f>
        <v>2.0299999999999998</v>
      </c>
      <c r="N3" s="6">
        <f>M3*F2</f>
        <v>41.969993124521089</v>
      </c>
    </row>
    <row r="4" spans="1:14" x14ac:dyDescent="0.3">
      <c r="A4" s="2">
        <v>9</v>
      </c>
      <c r="B4" s="4">
        <v>0</v>
      </c>
      <c r="C4" s="5">
        <v>21.22</v>
      </c>
      <c r="D4" s="5">
        <f t="shared" ref="D4:D12" si="3">D3+K4</f>
        <v>2.0311500000000002</v>
      </c>
      <c r="E4" s="6">
        <v>2.0299999999999998</v>
      </c>
      <c r="F4" s="4">
        <f t="shared" si="0"/>
        <v>27.253860454731441</v>
      </c>
      <c r="G4" s="10">
        <v>10</v>
      </c>
      <c r="H4" s="10">
        <f t="shared" si="1"/>
        <v>1</v>
      </c>
      <c r="I4" s="11">
        <v>3.3</v>
      </c>
      <c r="J4" s="11">
        <v>0</v>
      </c>
      <c r="K4" s="4">
        <f t="shared" si="2"/>
        <v>0</v>
      </c>
      <c r="L4" s="6">
        <f t="shared" ref="L3:L13" si="4">K4*F3</f>
        <v>0</v>
      </c>
      <c r="M4" s="5">
        <f>E4-E3</f>
        <v>0</v>
      </c>
      <c r="N4" s="6">
        <f>M4*F3</f>
        <v>0</v>
      </c>
    </row>
    <row r="5" spans="1:14" x14ac:dyDescent="0.3">
      <c r="A5" s="2">
        <v>10</v>
      </c>
      <c r="B5" s="4">
        <v>0</v>
      </c>
      <c r="C5" s="5">
        <v>52.731999999999999</v>
      </c>
      <c r="D5" s="5">
        <f t="shared" si="3"/>
        <v>2.0311500000000002</v>
      </c>
      <c r="E5" s="6">
        <v>8.6300000000000008</v>
      </c>
      <c r="F5" s="4">
        <f t="shared" si="0"/>
        <v>17.081428464952541</v>
      </c>
      <c r="G5" s="10">
        <v>10</v>
      </c>
      <c r="H5" s="10">
        <f t="shared" si="1"/>
        <v>1</v>
      </c>
      <c r="I5" s="11">
        <v>3.3</v>
      </c>
      <c r="J5" s="11">
        <v>1</v>
      </c>
      <c r="K5" s="4">
        <f t="shared" si="2"/>
        <v>0</v>
      </c>
      <c r="L5" s="6">
        <f t="shared" si="4"/>
        <v>0</v>
      </c>
      <c r="M5" s="5">
        <f t="shared" ref="M4:M13" si="5">E5-E4</f>
        <v>6.6000000000000014</v>
      </c>
      <c r="N5" s="6">
        <f>M5*F4</f>
        <v>179.87547900122755</v>
      </c>
    </row>
    <row r="6" spans="1:14" x14ac:dyDescent="0.3">
      <c r="A6" s="2">
        <v>11</v>
      </c>
      <c r="B6" s="4">
        <v>0</v>
      </c>
      <c r="C6" s="5">
        <v>79.132000000000005</v>
      </c>
      <c r="D6" s="5">
        <f t="shared" si="3"/>
        <v>35.031149999999997</v>
      </c>
      <c r="E6" s="6">
        <v>41.63</v>
      </c>
      <c r="F6" s="4">
        <f t="shared" si="0"/>
        <v>24.999999999999993</v>
      </c>
      <c r="G6" s="10">
        <v>10</v>
      </c>
      <c r="H6" s="10">
        <f t="shared" si="1"/>
        <v>1</v>
      </c>
      <c r="I6" s="11">
        <v>3.3</v>
      </c>
      <c r="J6" s="11">
        <v>0.57620000000000005</v>
      </c>
      <c r="K6" s="4">
        <f t="shared" si="2"/>
        <v>33</v>
      </c>
      <c r="L6" s="6">
        <f t="shared" si="4"/>
        <v>563.68713934343384</v>
      </c>
      <c r="M6" s="5">
        <f t="shared" si="5"/>
        <v>33</v>
      </c>
      <c r="N6" s="6">
        <f>M6*F5</f>
        <v>563.68713934343384</v>
      </c>
    </row>
    <row r="7" spans="1:14" x14ac:dyDescent="0.3">
      <c r="A7" s="2">
        <v>12</v>
      </c>
      <c r="B7" s="4">
        <v>5.5460000000000003</v>
      </c>
      <c r="C7" s="5">
        <v>103.31</v>
      </c>
      <c r="D7" s="5">
        <f t="shared" si="3"/>
        <v>54.045749999999998</v>
      </c>
      <c r="E7" s="6">
        <v>74.63</v>
      </c>
      <c r="F7" s="4">
        <f t="shared" si="0"/>
        <v>32.918571535047462</v>
      </c>
      <c r="G7" s="10">
        <v>10</v>
      </c>
      <c r="H7" s="10">
        <f t="shared" si="1"/>
        <v>1</v>
      </c>
      <c r="I7" s="11">
        <v>3.3</v>
      </c>
      <c r="J7" s="11">
        <v>0</v>
      </c>
      <c r="K7" s="4">
        <f t="shared" si="2"/>
        <v>19.014600000000002</v>
      </c>
      <c r="L7" s="6">
        <f t="shared" si="4"/>
        <v>475.3649999999999</v>
      </c>
      <c r="M7" s="5">
        <f t="shared" si="5"/>
        <v>32.999999999999993</v>
      </c>
      <c r="N7" s="6">
        <f>M7*F6</f>
        <v>824.99999999999955</v>
      </c>
    </row>
    <row r="8" spans="1:14" x14ac:dyDescent="0.3">
      <c r="A8" s="2">
        <v>13</v>
      </c>
      <c r="B8" s="4">
        <v>16.178999999999998</v>
      </c>
      <c r="C8" s="5">
        <v>119.13</v>
      </c>
      <c r="D8" s="5">
        <f t="shared" si="3"/>
        <v>54.045749999999998</v>
      </c>
      <c r="E8" s="6">
        <v>74.63</v>
      </c>
      <c r="F8" s="4">
        <f t="shared" si="0"/>
        <v>22.746139545268584</v>
      </c>
      <c r="G8" s="10">
        <v>10</v>
      </c>
      <c r="H8" s="10">
        <f t="shared" si="1"/>
        <v>1</v>
      </c>
      <c r="I8" s="11">
        <v>3.3</v>
      </c>
      <c r="J8" s="11">
        <v>1</v>
      </c>
      <c r="K8" s="4">
        <f t="shared" si="2"/>
        <v>0</v>
      </c>
      <c r="L8" s="6">
        <f t="shared" si="4"/>
        <v>0</v>
      </c>
      <c r="M8" s="5">
        <f t="shared" si="5"/>
        <v>0</v>
      </c>
      <c r="N8" s="6">
        <f>M8*F7</f>
        <v>0</v>
      </c>
    </row>
    <row r="9" spans="1:14" x14ac:dyDescent="0.3">
      <c r="A9" s="2">
        <v>14</v>
      </c>
      <c r="B9" s="4">
        <v>33.500999999999998</v>
      </c>
      <c r="C9" s="5">
        <v>125.048</v>
      </c>
      <c r="D9" s="5">
        <f t="shared" si="3"/>
        <v>87.045749999999998</v>
      </c>
      <c r="E9" s="6">
        <v>87.83</v>
      </c>
      <c r="F9" s="4">
        <f t="shared" si="0"/>
        <v>17.722944037163852</v>
      </c>
      <c r="G9" s="10">
        <v>10</v>
      </c>
      <c r="H9" s="10">
        <f t="shared" si="1"/>
        <v>1</v>
      </c>
      <c r="I9" s="11">
        <v>3.3</v>
      </c>
      <c r="J9" s="11">
        <v>1</v>
      </c>
      <c r="K9" s="4">
        <f t="shared" si="2"/>
        <v>33</v>
      </c>
      <c r="L9" s="6">
        <f t="shared" si="4"/>
        <v>750.62260499386321</v>
      </c>
      <c r="M9" s="5">
        <f t="shared" si="5"/>
        <v>13.200000000000003</v>
      </c>
      <c r="N9" s="6">
        <f>M9*F8</f>
        <v>300.24904199754536</v>
      </c>
    </row>
    <row r="10" spans="1:14" x14ac:dyDescent="0.3">
      <c r="A10" s="2">
        <v>15</v>
      </c>
      <c r="B10" s="4">
        <v>59.371000000000002</v>
      </c>
      <c r="C10" s="5">
        <v>128.34800000000001</v>
      </c>
      <c r="D10" s="5">
        <f t="shared" si="3"/>
        <v>120.04575</v>
      </c>
      <c r="E10" s="6">
        <v>120.83</v>
      </c>
      <c r="F10" s="4">
        <f t="shared" si="0"/>
        <v>29.325126539644771</v>
      </c>
      <c r="G10" s="10">
        <v>10</v>
      </c>
      <c r="H10" s="10">
        <f t="shared" si="1"/>
        <v>1</v>
      </c>
      <c r="I10" s="11">
        <v>3.3</v>
      </c>
      <c r="J10" s="11">
        <v>0</v>
      </c>
      <c r="K10" s="4">
        <f t="shared" si="2"/>
        <v>33</v>
      </c>
      <c r="L10" s="6">
        <f t="shared" si="4"/>
        <v>584.85715322640715</v>
      </c>
      <c r="M10" s="5">
        <f t="shared" si="5"/>
        <v>33</v>
      </c>
      <c r="N10" s="6">
        <f>M10*F9</f>
        <v>584.85715322640715</v>
      </c>
    </row>
    <row r="11" spans="1:14" x14ac:dyDescent="0.3">
      <c r="A11" s="2">
        <v>16</v>
      </c>
      <c r="B11" s="4">
        <v>89.04</v>
      </c>
      <c r="C11" s="5">
        <v>128.41</v>
      </c>
      <c r="D11" s="5">
        <f t="shared" si="3"/>
        <v>120.04575</v>
      </c>
      <c r="E11" s="6">
        <v>120.83</v>
      </c>
      <c r="F11" s="4">
        <f t="shared" si="0"/>
        <v>31.045996594834079</v>
      </c>
      <c r="G11" s="10">
        <v>10</v>
      </c>
      <c r="H11" s="10">
        <f t="shared" si="1"/>
        <v>1</v>
      </c>
      <c r="I11" s="11">
        <v>3.3</v>
      </c>
      <c r="J11" s="11">
        <v>0</v>
      </c>
      <c r="K11" s="4">
        <f t="shared" si="2"/>
        <v>0</v>
      </c>
      <c r="L11" s="6">
        <f t="shared" si="4"/>
        <v>0</v>
      </c>
      <c r="M11" s="5">
        <f t="shared" si="5"/>
        <v>0</v>
      </c>
      <c r="N11" s="6">
        <f>M11*F10</f>
        <v>0</v>
      </c>
    </row>
    <row r="12" spans="1:14" x14ac:dyDescent="0.3">
      <c r="A12" s="2">
        <v>17</v>
      </c>
      <c r="B12" s="4">
        <v>120.05</v>
      </c>
      <c r="C12" s="5">
        <v>128.41</v>
      </c>
      <c r="D12" s="5">
        <f t="shared" si="3"/>
        <v>120.04575</v>
      </c>
      <c r="E12" s="6">
        <v>120.83</v>
      </c>
      <c r="F12" s="4">
        <f t="shared" si="0"/>
        <v>18.954003405165953</v>
      </c>
      <c r="G12" s="10">
        <v>10</v>
      </c>
      <c r="H12" s="10">
        <f t="shared" si="1"/>
        <v>1</v>
      </c>
      <c r="I12" s="11">
        <v>3.3</v>
      </c>
      <c r="J12" s="11">
        <v>0.25340000000000001</v>
      </c>
      <c r="K12" s="4">
        <f t="shared" si="2"/>
        <v>0</v>
      </c>
      <c r="L12" s="6">
        <f t="shared" si="4"/>
        <v>0</v>
      </c>
      <c r="M12" s="5">
        <f t="shared" si="5"/>
        <v>0</v>
      </c>
      <c r="N12" s="6">
        <f>M12*F11</f>
        <v>0</v>
      </c>
    </row>
    <row r="13" spans="1:14" ht="15" thickBot="1" x14ac:dyDescent="0.35">
      <c r="A13" s="3">
        <v>18</v>
      </c>
      <c r="B13" s="7">
        <v>128.41</v>
      </c>
      <c r="C13" s="8">
        <v>128.41</v>
      </c>
      <c r="D13" s="8">
        <f>D12+K13</f>
        <v>128.40795</v>
      </c>
      <c r="E13" s="9">
        <f>D13</f>
        <v>128.40795</v>
      </c>
      <c r="F13" s="7">
        <f t="shared" si="0"/>
        <v>20.674873460355215</v>
      </c>
      <c r="G13" s="12">
        <v>0</v>
      </c>
      <c r="H13" s="12">
        <v>1</v>
      </c>
      <c r="I13" s="13">
        <v>3.3</v>
      </c>
      <c r="J13" s="8"/>
      <c r="K13" s="7">
        <f t="shared" si="2"/>
        <v>8.3621999999999996</v>
      </c>
      <c r="L13" s="9">
        <f t="shared" si="4"/>
        <v>158.49716727467873</v>
      </c>
      <c r="M13" s="8">
        <f t="shared" si="5"/>
        <v>7.5779500000000013</v>
      </c>
      <c r="N13" s="9">
        <f>M13*F12</f>
        <v>143.63249010417735</v>
      </c>
    </row>
    <row r="14" spans="1:14" ht="15" thickBot="1" x14ac:dyDescent="0.35">
      <c r="B14" s="1"/>
      <c r="F14" s="1"/>
      <c r="G14" s="1"/>
      <c r="H14" s="1"/>
      <c r="I14" s="1"/>
      <c r="J14" s="19" t="s">
        <v>9</v>
      </c>
      <c r="K14" s="19">
        <f>SUM(K2:K13)</f>
        <v>128.40795</v>
      </c>
      <c r="L14" s="23">
        <f>SUM(L3:L13)</f>
        <v>2575.0228340673834</v>
      </c>
      <c r="M14" s="20">
        <f>SUM(M3:M13)</f>
        <v>128.40795</v>
      </c>
      <c r="N14" s="22">
        <f>SUM(N3:N13)</f>
        <v>2639.2712967973121</v>
      </c>
    </row>
    <row r="15" spans="1:14" ht="15" thickBot="1" x14ac:dyDescent="0.35">
      <c r="K15" s="1"/>
      <c r="L15" s="1"/>
      <c r="N15" s="21">
        <f>(N14-L14)/L14</f>
        <v>2.4950638060340934E-2</v>
      </c>
    </row>
    <row r="16" spans="1:14" x14ac:dyDescent="0.3">
      <c r="K16" s="1"/>
    </row>
    <row r="19" spans="1:2" x14ac:dyDescent="0.3">
      <c r="A19">
        <v>7</v>
      </c>
      <c r="B19">
        <f>25 + 8 * SIN(12 *PI()*ROUNDDOWN(A19,0)/ 22)</f>
        <v>20.674873460355219</v>
      </c>
    </row>
    <row r="20" spans="1:2" x14ac:dyDescent="0.3">
      <c r="A20">
        <v>8</v>
      </c>
      <c r="B20">
        <f>25 + 8 * SIN(12 *PI()*ROUNDDOWN(A20,0)/ 22)</f>
        <v>32.277055962836144</v>
      </c>
    </row>
    <row r="21" spans="1:2" x14ac:dyDescent="0.3">
      <c r="A21">
        <v>9</v>
      </c>
      <c r="B21">
        <f>25 + 8 * SIN(12 *PI()*ROUNDDOWN(A21,0)/ 22)</f>
        <v>27.253860454731441</v>
      </c>
    </row>
    <row r="22" spans="1:2" x14ac:dyDescent="0.3">
      <c r="A22">
        <v>10</v>
      </c>
      <c r="B22">
        <f>25 + 8 * SIN(12 *PI()*ROUNDDOWN(A22,0)/ 22)</f>
        <v>17.081428464952541</v>
      </c>
    </row>
    <row r="23" spans="1:2" x14ac:dyDescent="0.3">
      <c r="A23">
        <v>11</v>
      </c>
      <c r="B23">
        <f>25 + 8 * SIN(12 *PI()*ROUNDDOWN(A23,0)/ 22)</f>
        <v>24.999999999999993</v>
      </c>
    </row>
    <row r="24" spans="1:2" x14ac:dyDescent="0.3">
      <c r="A24">
        <v>12</v>
      </c>
      <c r="B24">
        <f>25 + 8 * SIN(12 *PI()*ROUNDDOWN(A24,0)/ 22)</f>
        <v>32.918571535047462</v>
      </c>
    </row>
    <row r="25" spans="1:2" x14ac:dyDescent="0.3">
      <c r="A25">
        <v>13</v>
      </c>
      <c r="B25">
        <f>25 + 8 * SIN(12 *PI()*ROUNDDOWN(A25,0)/ 22)</f>
        <v>22.746139545268584</v>
      </c>
    </row>
    <row r="26" spans="1:2" x14ac:dyDescent="0.3">
      <c r="A26">
        <v>14</v>
      </c>
      <c r="B26">
        <f>25 + 8 * SIN(12 *PI()*ROUNDDOWN(A26,0)/ 22)</f>
        <v>17.722944037163852</v>
      </c>
    </row>
    <row r="27" spans="1:2" x14ac:dyDescent="0.3">
      <c r="A27">
        <v>15</v>
      </c>
      <c r="B27">
        <f>25 + 8 * SIN(12 *PI()*ROUNDDOWN(A27,0)/ 22)</f>
        <v>29.325126539644771</v>
      </c>
    </row>
    <row r="28" spans="1:2" x14ac:dyDescent="0.3">
      <c r="A28">
        <v>16</v>
      </c>
      <c r="B28">
        <f>25 + 8 * SIN(12 *PI()*ROUNDDOWN(A28,0)/ 22)</f>
        <v>31.045996594834079</v>
      </c>
    </row>
    <row r="29" spans="1:2" x14ac:dyDescent="0.3">
      <c r="A29">
        <v>17</v>
      </c>
      <c r="B29">
        <f>25 + 8 * SIN(12 *PI()*ROUNDDOWN(A29,0)/ 22)</f>
        <v>18.954003405165953</v>
      </c>
    </row>
    <row r="30" spans="1:2" x14ac:dyDescent="0.3">
      <c r="A30">
        <v>18</v>
      </c>
      <c r="B30">
        <f>25 + 8 * SIN(12 *PI()*ROUNDDOWN(A30,0)/ 22)</f>
        <v>20.674873460355215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65E5-3360-4382-AA43-30D5393DFEAB}">
  <dimension ref="A1:AJ50"/>
  <sheetViews>
    <sheetView tabSelected="1" topLeftCell="D34" workbookViewId="0">
      <selection activeCell="E2" sqref="E2"/>
    </sheetView>
  </sheetViews>
  <sheetFormatPr defaultRowHeight="14.4" x14ac:dyDescent="0.3"/>
  <cols>
    <col min="12" max="12" width="9.5546875" bestFit="1" customWidth="1"/>
    <col min="13" max="13" width="10.5546875" bestFit="1" customWidth="1"/>
    <col min="14" max="15" width="10.5546875" customWidth="1"/>
  </cols>
  <sheetData>
    <row r="1" spans="1:15" ht="15" thickBot="1" x14ac:dyDescent="0.35">
      <c r="A1" s="16" t="s">
        <v>0</v>
      </c>
      <c r="B1" s="16" t="s">
        <v>17</v>
      </c>
      <c r="C1" s="17" t="s">
        <v>18</v>
      </c>
      <c r="D1" s="17" t="s">
        <v>19</v>
      </c>
      <c r="E1" s="17" t="s">
        <v>20</v>
      </c>
      <c r="F1" s="18" t="s">
        <v>3</v>
      </c>
      <c r="G1" s="16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6" t="s">
        <v>13</v>
      </c>
      <c r="M1" s="18" t="s">
        <v>14</v>
      </c>
      <c r="N1" s="16" t="s">
        <v>15</v>
      </c>
      <c r="O1" s="18" t="s">
        <v>16</v>
      </c>
    </row>
    <row r="2" spans="1:15" x14ac:dyDescent="0.3">
      <c r="A2" s="24">
        <v>7</v>
      </c>
      <c r="B2" s="4">
        <v>0</v>
      </c>
      <c r="C2" s="5">
        <v>0</v>
      </c>
      <c r="D2" s="25">
        <v>0</v>
      </c>
      <c r="E2">
        <v>0</v>
      </c>
      <c r="G2" s="4">
        <f>25 + 8 * SIN(12 *PI()*ROUNDDOWN(A2,0)/ 22)</f>
        <v>20.674873460355219</v>
      </c>
      <c r="H2" s="25">
        <v>0</v>
      </c>
      <c r="I2" s="25">
        <f>A3-A2</f>
        <v>0.33000000000000007</v>
      </c>
      <c r="J2" s="25">
        <v>3.3</v>
      </c>
      <c r="K2" s="25">
        <v>1</v>
      </c>
      <c r="L2" s="32" t="s">
        <v>10</v>
      </c>
      <c r="M2" s="33" t="s">
        <v>10</v>
      </c>
      <c r="N2" s="32" t="s">
        <v>10</v>
      </c>
      <c r="O2" s="33" t="s">
        <v>10</v>
      </c>
    </row>
    <row r="3" spans="1:15" x14ac:dyDescent="0.3">
      <c r="A3" s="24">
        <v>7.33</v>
      </c>
      <c r="B3" s="4">
        <v>0</v>
      </c>
      <c r="C3" s="5">
        <v>0</v>
      </c>
      <c r="D3" s="5">
        <f>D2+L3</f>
        <v>0</v>
      </c>
      <c r="E3">
        <v>0</v>
      </c>
      <c r="G3" s="4">
        <f>25 + 8 * SIN(12 *PI()*ROUNDDOWN(A3,0)/ 22)</f>
        <v>20.674873460355219</v>
      </c>
      <c r="H3" s="25">
        <v>1</v>
      </c>
      <c r="I3" s="25">
        <f>A4-A3</f>
        <v>0.17999999999999972</v>
      </c>
      <c r="J3" s="25">
        <v>3.3</v>
      </c>
      <c r="K3" s="25">
        <v>1</v>
      </c>
      <c r="L3" s="4">
        <f t="shared" ref="L3:L33" si="0">H2*I2*J2*K2</f>
        <v>0</v>
      </c>
      <c r="M3" s="6">
        <f>L3*G2</f>
        <v>0</v>
      </c>
      <c r="N3" s="4">
        <f>E3-E2</f>
        <v>0</v>
      </c>
      <c r="O3" s="6">
        <f>N3*G2</f>
        <v>0</v>
      </c>
    </row>
    <row r="4" spans="1:15" x14ac:dyDescent="0.3">
      <c r="A4" s="24">
        <v>7.51</v>
      </c>
      <c r="B4" s="4">
        <v>0</v>
      </c>
      <c r="C4" s="5">
        <v>0.59</v>
      </c>
      <c r="D4" s="5">
        <f>D3+L4</f>
        <v>0.59399999999999908</v>
      </c>
      <c r="E4">
        <v>0.42</v>
      </c>
      <c r="G4" s="4">
        <f>25 + 8 * SIN(12 *PI()*ROUNDDOWN(A4,0)/ 22)</f>
        <v>20.674873460355219</v>
      </c>
      <c r="H4" s="25">
        <v>2</v>
      </c>
      <c r="I4" s="25">
        <f>A5-A4</f>
        <v>0.14000000000000057</v>
      </c>
      <c r="J4" s="25">
        <v>3.3</v>
      </c>
      <c r="K4" s="25">
        <v>1</v>
      </c>
      <c r="L4" s="4">
        <f t="shared" si="0"/>
        <v>0.59399999999999908</v>
      </c>
      <c r="M4" s="6">
        <f>L4*G3</f>
        <v>12.28087483545098</v>
      </c>
      <c r="N4" s="4">
        <f t="shared" ref="N4:N33" si="1">E4-E3</f>
        <v>0.42</v>
      </c>
      <c r="O4" s="6">
        <f t="shared" ref="O4:O33" si="2">N4*G3</f>
        <v>8.6834468533491922</v>
      </c>
    </row>
    <row r="5" spans="1:15" x14ac:dyDescent="0.3">
      <c r="A5" s="24">
        <v>7.65</v>
      </c>
      <c r="B5" s="4">
        <v>0</v>
      </c>
      <c r="C5" s="5">
        <v>1.52</v>
      </c>
      <c r="D5" s="5">
        <f>D4+L5</f>
        <v>1.5180000000000029</v>
      </c>
      <c r="E5">
        <v>0.88</v>
      </c>
      <c r="G5" s="4">
        <f>25 + 8 * SIN(12 *PI()*ROUNDDOWN(A5,0)/ 22)</f>
        <v>20.674873460355219</v>
      </c>
      <c r="H5" s="25">
        <v>3</v>
      </c>
      <c r="I5" s="25">
        <f>A6-A5</f>
        <v>9.9999999999999645E-2</v>
      </c>
      <c r="J5" s="25">
        <v>3.3</v>
      </c>
      <c r="K5" s="25">
        <v>1</v>
      </c>
      <c r="L5" s="4">
        <f t="shared" si="0"/>
        <v>0.92400000000000371</v>
      </c>
      <c r="M5" s="6">
        <f t="shared" ref="M5:M33" si="3">L5*G4</f>
        <v>19.103583077368299</v>
      </c>
      <c r="N5" s="4">
        <f t="shared" si="1"/>
        <v>0.46</v>
      </c>
      <c r="O5" s="6">
        <f t="shared" si="2"/>
        <v>9.5104417917634017</v>
      </c>
    </row>
    <row r="6" spans="1:15" x14ac:dyDescent="0.3">
      <c r="A6" s="24">
        <v>7.75</v>
      </c>
      <c r="B6" s="4">
        <v>0</v>
      </c>
      <c r="C6" s="5">
        <v>2.5099999999999998</v>
      </c>
      <c r="D6" s="5">
        <f>D5+L6</f>
        <v>2.5079999999999991</v>
      </c>
      <c r="E6">
        <v>0.98</v>
      </c>
      <c r="G6" s="4">
        <f>25 + 8 * SIN(12 *PI()*ROUNDDOWN(A6,0)/ 22)</f>
        <v>20.674873460355219</v>
      </c>
      <c r="H6" s="25">
        <v>4</v>
      </c>
      <c r="I6" s="25">
        <f>A7-A6</f>
        <v>3.0000000000000249E-2</v>
      </c>
      <c r="J6" s="25">
        <v>3.3</v>
      </c>
      <c r="K6" s="25">
        <v>1</v>
      </c>
      <c r="L6" s="4">
        <f t="shared" si="0"/>
        <v>0.98999999999999644</v>
      </c>
      <c r="M6" s="6">
        <f t="shared" si="3"/>
        <v>20.468124725751593</v>
      </c>
      <c r="N6" s="4">
        <f t="shared" si="1"/>
        <v>9.9999999999999978E-2</v>
      </c>
      <c r="O6" s="6">
        <f t="shared" si="2"/>
        <v>2.0674873460355214</v>
      </c>
    </row>
    <row r="7" spans="1:15" x14ac:dyDescent="0.3">
      <c r="A7" s="24">
        <v>7.78</v>
      </c>
      <c r="B7" s="4">
        <v>0</v>
      </c>
      <c r="C7" s="5">
        <v>2.91</v>
      </c>
      <c r="D7" s="5">
        <f>D6+L7</f>
        <v>2.9040000000000026</v>
      </c>
      <c r="E7">
        <v>1.1000000000000001</v>
      </c>
      <c r="G7" s="4">
        <f>25 + 8 * SIN(12 *PI()*ROUNDDOWN(A7,0)/ 22)</f>
        <v>20.674873460355219</v>
      </c>
      <c r="H7" s="25">
        <v>5</v>
      </c>
      <c r="I7" s="25">
        <f>A8-A7</f>
        <v>0.21999999999999975</v>
      </c>
      <c r="J7" s="25">
        <v>3.3</v>
      </c>
      <c r="K7" s="25">
        <v>1</v>
      </c>
      <c r="L7" s="4">
        <f t="shared" si="0"/>
        <v>0.39600000000000324</v>
      </c>
      <c r="M7" s="6">
        <f t="shared" si="3"/>
        <v>8.187249890300734</v>
      </c>
      <c r="N7" s="4">
        <f t="shared" si="1"/>
        <v>0.12000000000000011</v>
      </c>
      <c r="O7" s="6">
        <f t="shared" si="2"/>
        <v>2.4809848152426284</v>
      </c>
    </row>
    <row r="8" spans="1:15" x14ac:dyDescent="0.3">
      <c r="A8" s="24">
        <v>8</v>
      </c>
      <c r="B8" s="4">
        <v>0</v>
      </c>
      <c r="C8" s="5">
        <v>6.53</v>
      </c>
      <c r="D8" s="5">
        <f>D7+L8</f>
        <v>6.5339999999999989</v>
      </c>
      <c r="E8" s="1">
        <v>1.1000000000000001</v>
      </c>
      <c r="F8" s="1"/>
      <c r="G8" s="4">
        <f>25 + 8 * SIN(12 *PI()*ROUNDDOWN(A8,0)/ 22)</f>
        <v>32.277055962836144</v>
      </c>
      <c r="H8" s="25">
        <v>5</v>
      </c>
      <c r="I8" s="25">
        <f>A9-A8</f>
        <v>0.30000000000000071</v>
      </c>
      <c r="J8" s="25">
        <v>3.3</v>
      </c>
      <c r="K8" s="25">
        <v>0</v>
      </c>
      <c r="L8" s="4">
        <f t="shared" si="0"/>
        <v>3.6299999999999959</v>
      </c>
      <c r="M8" s="6">
        <f>L8*G7</f>
        <v>75.049790661089361</v>
      </c>
      <c r="N8" s="4">
        <f t="shared" si="1"/>
        <v>0</v>
      </c>
      <c r="O8" s="6">
        <f t="shared" si="2"/>
        <v>0</v>
      </c>
    </row>
    <row r="9" spans="1:15" x14ac:dyDescent="0.3">
      <c r="A9" s="24">
        <v>8.3000000000000007</v>
      </c>
      <c r="B9" s="4">
        <v>0</v>
      </c>
      <c r="C9" s="5">
        <v>11.5</v>
      </c>
      <c r="D9" s="5">
        <f>D8+L9</f>
        <v>6.5339999999999989</v>
      </c>
      <c r="E9" s="1">
        <v>1.1000000000000001</v>
      </c>
      <c r="F9" s="1"/>
      <c r="G9" s="4">
        <f>25 + 8 * SIN(12 *PI()*ROUNDDOWN(A9,0)/ 22)</f>
        <v>32.277055962836144</v>
      </c>
      <c r="H9" s="25">
        <v>6</v>
      </c>
      <c r="I9" s="25">
        <f>A10-A9</f>
        <v>8.0000000000000071E-2</v>
      </c>
      <c r="J9" s="25">
        <v>3.3</v>
      </c>
      <c r="K9" s="25">
        <v>0</v>
      </c>
      <c r="L9" s="4">
        <f t="shared" si="0"/>
        <v>0</v>
      </c>
      <c r="M9" s="6">
        <f t="shared" si="3"/>
        <v>0</v>
      </c>
      <c r="N9" s="4">
        <f t="shared" si="1"/>
        <v>0</v>
      </c>
      <c r="O9" s="6">
        <f t="shared" si="2"/>
        <v>0</v>
      </c>
    </row>
    <row r="10" spans="1:15" x14ac:dyDescent="0.3">
      <c r="A10" s="24">
        <v>8.3800000000000008</v>
      </c>
      <c r="B10" s="4">
        <v>0</v>
      </c>
      <c r="C10" s="5">
        <v>13.07</v>
      </c>
      <c r="D10" s="5">
        <f>D9+L10</f>
        <v>6.5339999999999989</v>
      </c>
      <c r="E10" s="1">
        <v>1.1000000000000001</v>
      </c>
      <c r="F10" s="1"/>
      <c r="G10" s="4">
        <f>25 + 8 * SIN(12 *PI()*ROUNDDOWN(A10,0)/ 22)</f>
        <v>32.277055962836144</v>
      </c>
      <c r="H10" s="25">
        <v>7</v>
      </c>
      <c r="I10" s="25">
        <f>A11-A10</f>
        <v>0.30999999999999872</v>
      </c>
      <c r="J10" s="25">
        <v>3.3</v>
      </c>
      <c r="K10" s="25">
        <v>0</v>
      </c>
      <c r="L10" s="4">
        <f t="shared" si="0"/>
        <v>0</v>
      </c>
      <c r="M10" s="6">
        <f t="shared" si="3"/>
        <v>0</v>
      </c>
      <c r="N10" s="4">
        <f t="shared" si="1"/>
        <v>0</v>
      </c>
      <c r="O10" s="6">
        <f t="shared" si="2"/>
        <v>0</v>
      </c>
    </row>
    <row r="11" spans="1:15" x14ac:dyDescent="0.3">
      <c r="A11" s="24">
        <v>8.69</v>
      </c>
      <c r="B11" s="4">
        <v>0</v>
      </c>
      <c r="C11" s="5">
        <v>20.22</v>
      </c>
      <c r="D11" s="5">
        <f>D10+L11</f>
        <v>6.5339999999999989</v>
      </c>
      <c r="E11" s="1">
        <v>1.1000000000000001</v>
      </c>
      <c r="F11" s="1"/>
      <c r="G11" s="4">
        <f>25 + 8 * SIN(12 *PI()*ROUNDDOWN(A11,0)/ 22)</f>
        <v>32.277055962836144</v>
      </c>
      <c r="H11" s="25">
        <v>8</v>
      </c>
      <c r="I11" s="25">
        <f>A12-A11</f>
        <v>0.27000000000000135</v>
      </c>
      <c r="J11" s="25">
        <v>3.3</v>
      </c>
      <c r="K11" s="25">
        <v>0</v>
      </c>
      <c r="L11" s="4">
        <f t="shared" si="0"/>
        <v>0</v>
      </c>
      <c r="M11" s="6">
        <f t="shared" si="3"/>
        <v>0</v>
      </c>
      <c r="N11" s="4">
        <f t="shared" si="1"/>
        <v>0</v>
      </c>
      <c r="O11" s="6">
        <f t="shared" si="2"/>
        <v>0</v>
      </c>
    </row>
    <row r="12" spans="1:15" x14ac:dyDescent="0.3">
      <c r="A12" s="24">
        <v>8.9600000000000009</v>
      </c>
      <c r="B12" s="4">
        <v>0</v>
      </c>
      <c r="C12" s="5">
        <v>27.35</v>
      </c>
      <c r="D12" s="5">
        <f>D11+L12</f>
        <v>6.5339999999999989</v>
      </c>
      <c r="E12">
        <v>1.1000000000000001</v>
      </c>
      <c r="G12" s="4">
        <f>25 + 8 * SIN(12 *PI()*ROUNDDOWN(A12,0)/ 22)</f>
        <v>32.277055962836144</v>
      </c>
      <c r="H12" s="25">
        <v>9</v>
      </c>
      <c r="I12" s="25">
        <f>A13-A12</f>
        <v>3.9999999999999147E-2</v>
      </c>
      <c r="J12" s="25">
        <v>3.3</v>
      </c>
      <c r="K12" s="25">
        <v>0</v>
      </c>
      <c r="L12" s="4">
        <f t="shared" si="0"/>
        <v>0</v>
      </c>
      <c r="M12" s="6">
        <f t="shared" si="3"/>
        <v>0</v>
      </c>
      <c r="N12" s="4">
        <f t="shared" si="1"/>
        <v>0</v>
      </c>
      <c r="O12" s="6">
        <f t="shared" si="2"/>
        <v>0</v>
      </c>
    </row>
    <row r="13" spans="1:15" x14ac:dyDescent="0.3">
      <c r="A13" s="24">
        <v>9</v>
      </c>
      <c r="B13" s="4">
        <v>0</v>
      </c>
      <c r="C13" s="5">
        <v>28.54</v>
      </c>
      <c r="D13" s="5">
        <f>D12+L13</f>
        <v>6.5339999999999989</v>
      </c>
      <c r="E13">
        <v>1.1000000000000001</v>
      </c>
      <c r="G13" s="4">
        <f>25 + 8 * SIN(12 *PI()*ROUNDDOWN(A13,0)/ 22)</f>
        <v>27.253860454731441</v>
      </c>
      <c r="H13" s="25">
        <v>9</v>
      </c>
      <c r="I13" s="25">
        <f>A14-A13</f>
        <v>1</v>
      </c>
      <c r="J13" s="25">
        <v>3.3</v>
      </c>
      <c r="K13" s="25">
        <v>0</v>
      </c>
      <c r="L13" s="4">
        <f t="shared" si="0"/>
        <v>0</v>
      </c>
      <c r="M13" s="6">
        <f t="shared" si="3"/>
        <v>0</v>
      </c>
      <c r="N13" s="4">
        <f t="shared" si="1"/>
        <v>0</v>
      </c>
      <c r="O13" s="6">
        <f t="shared" si="2"/>
        <v>0</v>
      </c>
    </row>
    <row r="14" spans="1:15" x14ac:dyDescent="0.3">
      <c r="A14" s="24">
        <v>10</v>
      </c>
      <c r="B14" s="4">
        <v>0</v>
      </c>
      <c r="C14" s="5">
        <v>56.99</v>
      </c>
      <c r="D14" s="5">
        <f>D13+L14</f>
        <v>6.5339999999999989</v>
      </c>
      <c r="E14">
        <v>1.1000000000000001</v>
      </c>
      <c r="G14" s="4">
        <f>25 + 8 * SIN(12 *PI()*ROUNDDOWN(A14,0)/ 22)</f>
        <v>17.081428464952541</v>
      </c>
      <c r="H14" s="25">
        <v>9</v>
      </c>
      <c r="I14" s="25">
        <f>A15-A14</f>
        <v>1</v>
      </c>
      <c r="J14" s="25">
        <v>3.3</v>
      </c>
      <c r="K14" s="25">
        <v>1</v>
      </c>
      <c r="L14" s="4">
        <f t="shared" si="0"/>
        <v>0</v>
      </c>
      <c r="M14" s="6">
        <f t="shared" si="3"/>
        <v>0</v>
      </c>
      <c r="N14" s="4">
        <f t="shared" si="1"/>
        <v>0</v>
      </c>
      <c r="O14" s="6">
        <f t="shared" si="2"/>
        <v>0</v>
      </c>
    </row>
    <row r="15" spans="1:15" x14ac:dyDescent="0.3">
      <c r="A15" s="24">
        <v>11</v>
      </c>
      <c r="B15" s="4">
        <v>0.73</v>
      </c>
      <c r="C15" s="5">
        <v>81.709999999999994</v>
      </c>
      <c r="D15" s="5">
        <f>D14+L15</f>
        <v>36.233999999999995</v>
      </c>
      <c r="E15">
        <v>24.86</v>
      </c>
      <c r="G15" s="4">
        <f>25 + 8 * SIN(12 *PI()*ROUNDDOWN(A15,0)/ 22)</f>
        <v>24.999999999999993</v>
      </c>
      <c r="H15" s="25">
        <v>9</v>
      </c>
      <c r="I15" s="25">
        <f>A16-A15</f>
        <v>0.35999999999999943</v>
      </c>
      <c r="J15" s="25">
        <v>3.3</v>
      </c>
      <c r="K15" s="25">
        <v>0.45</v>
      </c>
      <c r="L15" s="4">
        <f t="shared" si="0"/>
        <v>29.7</v>
      </c>
      <c r="M15" s="6">
        <f>L15*G14</f>
        <v>507.31842540909048</v>
      </c>
      <c r="N15" s="4">
        <f t="shared" si="1"/>
        <v>23.759999999999998</v>
      </c>
      <c r="O15" s="6">
        <f t="shared" si="2"/>
        <v>405.85474032727234</v>
      </c>
    </row>
    <row r="16" spans="1:15" x14ac:dyDescent="0.3">
      <c r="A16" s="24">
        <v>11.36</v>
      </c>
      <c r="B16" s="4">
        <v>2.78</v>
      </c>
      <c r="C16" s="5">
        <v>87.399999999999906</v>
      </c>
      <c r="D16" s="5">
        <f>D15+L16</f>
        <v>41.045399999999987</v>
      </c>
      <c r="E16">
        <v>33.409999999999997</v>
      </c>
      <c r="G16" s="4">
        <f>25 + 8 * SIN(12 *PI()*ROUNDDOWN(A16,0)/ 22)</f>
        <v>24.999999999999993</v>
      </c>
      <c r="H16" s="25">
        <v>10</v>
      </c>
      <c r="I16" s="25">
        <f>A17-A16</f>
        <v>0.64000000000000057</v>
      </c>
      <c r="J16" s="25">
        <v>3.3</v>
      </c>
      <c r="K16" s="25">
        <v>0</v>
      </c>
      <c r="L16" s="4">
        <f t="shared" si="0"/>
        <v>4.8113999999999919</v>
      </c>
      <c r="M16" s="6">
        <f>L16*G15</f>
        <v>120.28499999999977</v>
      </c>
      <c r="N16" s="4">
        <f t="shared" si="1"/>
        <v>8.5499999999999972</v>
      </c>
      <c r="O16" s="6">
        <f t="shared" si="2"/>
        <v>213.74999999999986</v>
      </c>
    </row>
    <row r="17" spans="1:15" x14ac:dyDescent="0.3">
      <c r="A17" s="24">
        <v>12</v>
      </c>
      <c r="B17" s="4">
        <v>10.039999999999999</v>
      </c>
      <c r="C17" s="5">
        <v>95.649999999999906</v>
      </c>
      <c r="D17" s="5">
        <f>D16+L17</f>
        <v>41.045399999999987</v>
      </c>
      <c r="E17">
        <v>52.42</v>
      </c>
      <c r="G17" s="4">
        <f>25 + 8 * SIN(12 *PI()*ROUNDDOWN(A17,0)/ 22)</f>
        <v>32.918571535047462</v>
      </c>
      <c r="H17" s="25">
        <v>10</v>
      </c>
      <c r="I17" s="25">
        <f>A18-A17</f>
        <v>1</v>
      </c>
      <c r="J17" s="25">
        <v>3.3</v>
      </c>
      <c r="K17" s="25">
        <v>0</v>
      </c>
      <c r="L17" s="4">
        <f t="shared" si="0"/>
        <v>0</v>
      </c>
      <c r="M17" s="6">
        <f t="shared" si="3"/>
        <v>0</v>
      </c>
      <c r="N17" s="4">
        <f t="shared" si="1"/>
        <v>19.010000000000005</v>
      </c>
      <c r="O17" s="6">
        <f t="shared" si="2"/>
        <v>475.25</v>
      </c>
    </row>
    <row r="18" spans="1:15" x14ac:dyDescent="0.3">
      <c r="A18" s="24">
        <v>13</v>
      </c>
      <c r="B18" s="4">
        <v>26.0399999999999</v>
      </c>
      <c r="C18" s="5">
        <v>101.57</v>
      </c>
      <c r="D18" s="5">
        <f>D17+L18</f>
        <v>41.045399999999987</v>
      </c>
      <c r="E18">
        <v>55.72</v>
      </c>
      <c r="G18" s="4">
        <f>25 + 8 * SIN(12 *PI()*ROUNDDOWN(A18,0)/ 22)</f>
        <v>22.746139545268584</v>
      </c>
      <c r="H18" s="25">
        <v>10</v>
      </c>
      <c r="I18" s="25">
        <f>A19-A18</f>
        <v>1</v>
      </c>
      <c r="J18" s="25">
        <v>3.3</v>
      </c>
      <c r="K18" s="25">
        <v>1</v>
      </c>
      <c r="L18" s="4">
        <f t="shared" si="0"/>
        <v>0</v>
      </c>
      <c r="M18" s="6">
        <f t="shared" si="3"/>
        <v>0</v>
      </c>
      <c r="N18" s="4">
        <f t="shared" si="1"/>
        <v>3.2999999999999972</v>
      </c>
      <c r="O18" s="6">
        <f t="shared" si="2"/>
        <v>108.63128606565654</v>
      </c>
    </row>
    <row r="19" spans="1:15" x14ac:dyDescent="0.3">
      <c r="A19" s="24">
        <v>14</v>
      </c>
      <c r="B19" s="4">
        <v>51.75</v>
      </c>
      <c r="C19" s="5">
        <v>104.869999999999</v>
      </c>
      <c r="D19" s="5">
        <f>D18+L19</f>
        <v>74.045399999999987</v>
      </c>
      <c r="E19">
        <v>75.52</v>
      </c>
      <c r="G19" s="4">
        <f>25 + 8 * SIN(12 *PI()*ROUNDDOWN(A19,0)/ 22)</f>
        <v>17.722944037163852</v>
      </c>
      <c r="H19" s="25">
        <v>10</v>
      </c>
      <c r="I19" s="25">
        <f>A20-A19</f>
        <v>0.8100000000000005</v>
      </c>
      <c r="J19" s="25">
        <v>3.3</v>
      </c>
      <c r="K19" s="25">
        <v>1</v>
      </c>
      <c r="L19" s="4">
        <f t="shared" si="0"/>
        <v>33</v>
      </c>
      <c r="M19" s="6">
        <f>L19*G18</f>
        <v>750.62260499386321</v>
      </c>
      <c r="N19" s="4">
        <f t="shared" si="1"/>
        <v>19.799999999999997</v>
      </c>
      <c r="O19" s="6">
        <f t="shared" si="2"/>
        <v>450.3735629963179</v>
      </c>
    </row>
    <row r="20" spans="1:15" x14ac:dyDescent="0.3">
      <c r="A20" s="24">
        <v>14.81</v>
      </c>
      <c r="B20" s="4">
        <v>74.89</v>
      </c>
      <c r="C20" s="5">
        <v>107.55</v>
      </c>
      <c r="D20" s="5">
        <f>D19+L20</f>
        <v>100.7754</v>
      </c>
      <c r="E20">
        <v>102.25</v>
      </c>
      <c r="G20" s="4">
        <f>25 + 8 * SIN(12 *PI()*ROUNDDOWN(A20,0)/ 22)</f>
        <v>17.722944037163852</v>
      </c>
      <c r="H20" s="25">
        <v>9</v>
      </c>
      <c r="I20" s="25">
        <f>A21-A20</f>
        <v>9.9999999999997868E-3</v>
      </c>
      <c r="J20" s="25">
        <v>3.3</v>
      </c>
      <c r="K20" s="25">
        <v>1</v>
      </c>
      <c r="L20" s="4">
        <f t="shared" si="0"/>
        <v>26.730000000000015</v>
      </c>
      <c r="M20" s="6">
        <f>L20*G19</f>
        <v>473.73429411339004</v>
      </c>
      <c r="N20" s="4">
        <f t="shared" si="1"/>
        <v>26.730000000000004</v>
      </c>
      <c r="O20" s="6">
        <f t="shared" si="2"/>
        <v>473.73429411338986</v>
      </c>
    </row>
    <row r="21" spans="1:15" x14ac:dyDescent="0.3">
      <c r="A21" s="24">
        <v>14.82</v>
      </c>
      <c r="B21" s="4">
        <v>75.19</v>
      </c>
      <c r="C21" s="5">
        <v>107.58</v>
      </c>
      <c r="D21" s="5">
        <f>D20+L21</f>
        <v>101.0724</v>
      </c>
      <c r="E21">
        <v>102.52</v>
      </c>
      <c r="G21" s="4">
        <f>25 + 8 * SIN(12 *PI()*ROUNDDOWN(A21,0)/ 22)</f>
        <v>17.722944037163852</v>
      </c>
      <c r="H21" s="25">
        <v>8</v>
      </c>
      <c r="I21" s="25">
        <f>A22-A21</f>
        <v>9.9999999999999645E-2</v>
      </c>
      <c r="J21" s="25">
        <v>3.3</v>
      </c>
      <c r="K21" s="25">
        <v>1</v>
      </c>
      <c r="L21" s="4">
        <f t="shared" si="0"/>
        <v>0.29699999999999366</v>
      </c>
      <c r="M21" s="6">
        <f t="shared" si="3"/>
        <v>5.2637143790375518</v>
      </c>
      <c r="N21" s="4">
        <f t="shared" si="1"/>
        <v>0.26999999999999602</v>
      </c>
      <c r="O21" s="6">
        <f t="shared" si="2"/>
        <v>4.7851948900341696</v>
      </c>
    </row>
    <row r="22" spans="1:15" x14ac:dyDescent="0.3">
      <c r="A22" s="24">
        <v>14.92</v>
      </c>
      <c r="B22" s="4">
        <v>77.83</v>
      </c>
      <c r="C22" s="5">
        <v>107.91</v>
      </c>
      <c r="D22" s="5">
        <f>D21+L22</f>
        <v>103.71239999999999</v>
      </c>
      <c r="E22">
        <v>104.9</v>
      </c>
      <c r="G22" s="4">
        <f>25 + 8 * SIN(12 *PI()*ROUNDDOWN(A22,0)/ 22)</f>
        <v>17.722944037163852</v>
      </c>
      <c r="H22" s="25">
        <v>7</v>
      </c>
      <c r="I22" s="25">
        <f>A23-A22</f>
        <v>8.0000000000000071E-2</v>
      </c>
      <c r="J22" s="25">
        <v>3.3</v>
      </c>
      <c r="K22" s="25">
        <v>1</v>
      </c>
      <c r="L22" s="4">
        <f t="shared" si="0"/>
        <v>2.6399999999999904</v>
      </c>
      <c r="M22" s="6">
        <f t="shared" si="3"/>
        <v>46.788572258112403</v>
      </c>
      <c r="N22" s="4">
        <f t="shared" si="1"/>
        <v>2.3800000000000097</v>
      </c>
      <c r="O22" s="6">
        <f t="shared" si="2"/>
        <v>42.180606808450143</v>
      </c>
    </row>
    <row r="23" spans="1:15" x14ac:dyDescent="0.3">
      <c r="A23" s="24">
        <v>15</v>
      </c>
      <c r="B23" s="4">
        <v>79.66</v>
      </c>
      <c r="C23" s="5">
        <v>108.17</v>
      </c>
      <c r="D23" s="5">
        <f>D22+L23</f>
        <v>105.56039999999999</v>
      </c>
      <c r="E23">
        <v>106.75</v>
      </c>
      <c r="G23" s="4">
        <f>25 + 8 * SIN(12 *PI()*ROUNDDOWN(A23,0)/ 22)</f>
        <v>29.325126539644771</v>
      </c>
      <c r="H23" s="25">
        <v>7</v>
      </c>
      <c r="I23" s="25">
        <f>A24-A23</f>
        <v>0.10999999999999943</v>
      </c>
      <c r="J23" s="25">
        <v>3.3</v>
      </c>
      <c r="K23" s="25">
        <v>0</v>
      </c>
      <c r="L23" s="4">
        <f t="shared" si="0"/>
        <v>1.8480000000000016</v>
      </c>
      <c r="M23" s="6">
        <f>L23*G22</f>
        <v>32.752000580678832</v>
      </c>
      <c r="N23" s="4">
        <f t="shared" si="1"/>
        <v>1.8499999999999943</v>
      </c>
      <c r="O23" s="6">
        <f t="shared" si="2"/>
        <v>32.787446468753025</v>
      </c>
    </row>
    <row r="24" spans="1:15" x14ac:dyDescent="0.3">
      <c r="A24" s="24">
        <v>15.11</v>
      </c>
      <c r="B24" s="4">
        <v>82.21</v>
      </c>
      <c r="C24" s="5">
        <v>108.54</v>
      </c>
      <c r="D24" s="5">
        <f>D23+L24</f>
        <v>105.56039999999999</v>
      </c>
      <c r="E24">
        <v>108.53</v>
      </c>
      <c r="G24" s="4">
        <f>25 + 8 * SIN(12 *PI()*ROUNDDOWN(A24,0)/ 22)</f>
        <v>29.325126539644771</v>
      </c>
      <c r="H24" s="25">
        <v>6</v>
      </c>
      <c r="I24" s="25">
        <f>A25-A24</f>
        <v>0.12000000000000099</v>
      </c>
      <c r="J24" s="25">
        <v>3.3</v>
      </c>
      <c r="K24" s="25">
        <v>0</v>
      </c>
      <c r="L24" s="4">
        <f t="shared" si="0"/>
        <v>0</v>
      </c>
      <c r="M24" s="6">
        <f t="shared" si="3"/>
        <v>0</v>
      </c>
      <c r="N24" s="4">
        <f t="shared" si="1"/>
        <v>1.7800000000000011</v>
      </c>
      <c r="O24" s="6">
        <f t="shared" si="2"/>
        <v>52.198725240567725</v>
      </c>
    </row>
    <row r="25" spans="1:15" x14ac:dyDescent="0.3">
      <c r="A25" s="24">
        <v>15.23</v>
      </c>
      <c r="B25" s="4">
        <v>84.58</v>
      </c>
      <c r="C25" s="5">
        <v>108.57</v>
      </c>
      <c r="D25" s="5">
        <f>D24+L25</f>
        <v>105.56039999999999</v>
      </c>
      <c r="E25">
        <v>108.57</v>
      </c>
      <c r="G25" s="4">
        <f>25 + 8 * SIN(12 *PI()*ROUNDDOWN(A25,0)/ 22)</f>
        <v>29.325126539644771</v>
      </c>
      <c r="H25" s="25">
        <v>5</v>
      </c>
      <c r="I25" s="25">
        <f>A26-A25</f>
        <v>0.19999999999999929</v>
      </c>
      <c r="J25" s="25">
        <v>3.3</v>
      </c>
      <c r="K25" s="25">
        <v>0</v>
      </c>
      <c r="L25" s="4">
        <f t="shared" si="0"/>
        <v>0</v>
      </c>
      <c r="M25" s="6">
        <f t="shared" si="3"/>
        <v>0</v>
      </c>
      <c r="N25" s="4">
        <f t="shared" si="1"/>
        <v>3.9999999999992042E-2</v>
      </c>
      <c r="O25" s="6">
        <f t="shared" si="2"/>
        <v>1.1730050615855574</v>
      </c>
    </row>
    <row r="26" spans="1:15" x14ac:dyDescent="0.3">
      <c r="A26" s="24">
        <v>15.43</v>
      </c>
      <c r="B26" s="4">
        <v>87.88</v>
      </c>
      <c r="C26" s="5">
        <v>108.57</v>
      </c>
      <c r="D26" s="5">
        <f>D25+L26</f>
        <v>105.56039999999999</v>
      </c>
      <c r="E26">
        <v>108.57</v>
      </c>
      <c r="G26" s="4">
        <f>25 + 8 * SIN(12 *PI()*ROUNDDOWN(A26,0)/ 22)</f>
        <v>29.325126539644771</v>
      </c>
      <c r="H26" s="25">
        <v>4</v>
      </c>
      <c r="I26" s="25">
        <f>A27-A26</f>
        <v>0.57000000000000028</v>
      </c>
      <c r="J26" s="25">
        <v>3.3</v>
      </c>
      <c r="K26" s="25">
        <v>0</v>
      </c>
      <c r="L26" s="4">
        <f t="shared" si="0"/>
        <v>0</v>
      </c>
      <c r="M26" s="6">
        <f t="shared" si="3"/>
        <v>0</v>
      </c>
      <c r="N26" s="4">
        <f t="shared" si="1"/>
        <v>0</v>
      </c>
      <c r="O26" s="6">
        <f t="shared" si="2"/>
        <v>0</v>
      </c>
    </row>
    <row r="27" spans="1:15" x14ac:dyDescent="0.3">
      <c r="A27" s="24">
        <v>16</v>
      </c>
      <c r="B27" s="4">
        <v>95.399999999999906</v>
      </c>
      <c r="C27" s="5">
        <v>108.57</v>
      </c>
      <c r="D27" s="5">
        <f>D26+L27</f>
        <v>105.56039999999999</v>
      </c>
      <c r="E27">
        <v>108.57</v>
      </c>
      <c r="G27" s="4">
        <f>25 + 8 * SIN(12 *PI()*ROUNDDOWN(A27,0)/ 22)</f>
        <v>31.045996594834079</v>
      </c>
      <c r="H27" s="25">
        <v>4</v>
      </c>
      <c r="I27" s="25">
        <f>A28-A27</f>
        <v>0.10999999999999943</v>
      </c>
      <c r="J27" s="25">
        <v>3.3</v>
      </c>
      <c r="K27" s="25">
        <v>0</v>
      </c>
      <c r="L27" s="4">
        <f t="shared" si="0"/>
        <v>0</v>
      </c>
      <c r="M27" s="6">
        <f t="shared" si="3"/>
        <v>0</v>
      </c>
      <c r="N27" s="4">
        <f t="shared" si="1"/>
        <v>0</v>
      </c>
      <c r="O27" s="6">
        <f t="shared" si="2"/>
        <v>0</v>
      </c>
    </row>
    <row r="28" spans="1:15" x14ac:dyDescent="0.3">
      <c r="A28" s="24">
        <v>16.11</v>
      </c>
      <c r="B28" s="4">
        <v>96.85</v>
      </c>
      <c r="C28" s="5">
        <v>108.57</v>
      </c>
      <c r="D28" s="5">
        <f>D27+L28</f>
        <v>105.56039999999999</v>
      </c>
      <c r="E28">
        <v>108.57</v>
      </c>
      <c r="G28" s="4">
        <f>25 + 8 * SIN(12 *PI()*ROUNDDOWN(A28,0)/ 22)</f>
        <v>31.045996594834079</v>
      </c>
      <c r="H28" s="25">
        <v>3</v>
      </c>
      <c r="I28" s="25">
        <f>A29-A28</f>
        <v>0.85999999999999943</v>
      </c>
      <c r="J28" s="25">
        <v>3.3</v>
      </c>
      <c r="K28" s="25">
        <v>0</v>
      </c>
      <c r="L28" s="4">
        <f t="shared" si="0"/>
        <v>0</v>
      </c>
      <c r="M28" s="6">
        <f t="shared" si="3"/>
        <v>0</v>
      </c>
      <c r="N28" s="4">
        <f t="shared" si="1"/>
        <v>0</v>
      </c>
      <c r="O28" s="6">
        <f t="shared" si="2"/>
        <v>0</v>
      </c>
    </row>
    <row r="29" spans="1:15" x14ac:dyDescent="0.3">
      <c r="A29" s="24">
        <v>16.97</v>
      </c>
      <c r="B29" s="4">
        <v>105.37</v>
      </c>
      <c r="C29" s="5">
        <v>108.57</v>
      </c>
      <c r="D29" s="5">
        <f>D28+L29</f>
        <v>105.56039999999999</v>
      </c>
      <c r="E29">
        <v>108.57</v>
      </c>
      <c r="G29" s="4">
        <f>25 + 8 * SIN(12 *PI()*ROUNDDOWN(A29,0)/ 22)</f>
        <v>31.045996594834079</v>
      </c>
      <c r="H29" s="25">
        <v>2</v>
      </c>
      <c r="I29" s="25">
        <f>A30-A29</f>
        <v>3.0000000000001137E-2</v>
      </c>
      <c r="J29" s="25">
        <v>3.3</v>
      </c>
      <c r="K29" s="25">
        <v>0</v>
      </c>
      <c r="L29" s="4">
        <f t="shared" si="0"/>
        <v>0</v>
      </c>
      <c r="M29" s="6">
        <f t="shared" si="3"/>
        <v>0</v>
      </c>
      <c r="N29" s="4">
        <f t="shared" si="1"/>
        <v>0</v>
      </c>
      <c r="O29" s="6">
        <f t="shared" si="2"/>
        <v>0</v>
      </c>
    </row>
    <row r="30" spans="1:15" x14ac:dyDescent="0.3">
      <c r="A30" s="24">
        <v>17</v>
      </c>
      <c r="B30" s="4">
        <v>105.57</v>
      </c>
      <c r="C30" s="5">
        <v>108.57</v>
      </c>
      <c r="D30" s="5">
        <f>D29+L30</f>
        <v>105.56039999999999</v>
      </c>
      <c r="E30">
        <v>108.57</v>
      </c>
      <c r="G30" s="4">
        <f>25 + 8 * SIN(12 *PI()*ROUNDDOWN(A30,0)/ 22)</f>
        <v>18.954003405165953</v>
      </c>
      <c r="H30" s="25">
        <v>2</v>
      </c>
      <c r="I30" s="25">
        <f>A31-A30</f>
        <v>0.42999999999999972</v>
      </c>
      <c r="J30" s="25">
        <v>3.3</v>
      </c>
      <c r="K30" s="25">
        <v>1</v>
      </c>
      <c r="L30" s="4">
        <f t="shared" si="0"/>
        <v>0</v>
      </c>
      <c r="M30" s="6">
        <f t="shared" si="3"/>
        <v>0</v>
      </c>
      <c r="N30" s="4">
        <f t="shared" si="1"/>
        <v>0</v>
      </c>
      <c r="O30" s="6">
        <f t="shared" si="2"/>
        <v>0</v>
      </c>
    </row>
    <row r="31" spans="1:15" x14ac:dyDescent="0.3">
      <c r="A31" s="24">
        <v>17.43</v>
      </c>
      <c r="B31" s="4">
        <v>108.41</v>
      </c>
      <c r="C31" s="5">
        <v>108.57</v>
      </c>
      <c r="D31" s="5">
        <f>D30+L31</f>
        <v>108.39839999999998</v>
      </c>
      <c r="E31">
        <v>108.57</v>
      </c>
      <c r="G31" s="4">
        <f>25 + 8 * SIN(12 *PI()*ROUNDDOWN(A31,0)/ 22)</f>
        <v>18.954003405165953</v>
      </c>
      <c r="H31" s="25">
        <v>1</v>
      </c>
      <c r="I31" s="25">
        <f>A32-A31</f>
        <v>5.0000000000000711E-2</v>
      </c>
      <c r="J31" s="25">
        <v>3.3</v>
      </c>
      <c r="K31" s="25">
        <v>1</v>
      </c>
      <c r="L31" s="4">
        <f t="shared" si="0"/>
        <v>2.8379999999999979</v>
      </c>
      <c r="M31" s="6">
        <f t="shared" si="3"/>
        <v>53.791461663860936</v>
      </c>
      <c r="N31" s="4">
        <f t="shared" si="1"/>
        <v>0</v>
      </c>
      <c r="O31" s="6">
        <f t="shared" si="2"/>
        <v>0</v>
      </c>
    </row>
    <row r="32" spans="1:15" x14ac:dyDescent="0.3">
      <c r="A32" s="24">
        <v>17.48</v>
      </c>
      <c r="B32" s="4">
        <v>108.57</v>
      </c>
      <c r="C32" s="5">
        <v>108.57</v>
      </c>
      <c r="D32" s="5">
        <f>D31+L32</f>
        <v>108.56339999999999</v>
      </c>
      <c r="E32">
        <v>108.57</v>
      </c>
      <c r="G32" s="4">
        <f>25 + 8 * SIN(12 *PI()*ROUNDDOWN(A32,0)/ 22)</f>
        <v>18.954003405165953</v>
      </c>
      <c r="H32" s="25">
        <v>0</v>
      </c>
      <c r="I32" s="25">
        <f>A33-A32</f>
        <v>0.51999999999999957</v>
      </c>
      <c r="J32" s="25">
        <v>3.3</v>
      </c>
      <c r="K32" s="25">
        <v>1</v>
      </c>
      <c r="L32" s="4">
        <f t="shared" si="0"/>
        <v>0.16500000000000234</v>
      </c>
      <c r="M32" s="6">
        <f t="shared" si="3"/>
        <v>3.1274105618524266</v>
      </c>
      <c r="N32" s="4">
        <f t="shared" si="1"/>
        <v>0</v>
      </c>
      <c r="O32" s="6">
        <f t="shared" si="2"/>
        <v>0</v>
      </c>
    </row>
    <row r="33" spans="1:36" ht="15" thickBot="1" x14ac:dyDescent="0.35">
      <c r="A33" s="26">
        <v>18</v>
      </c>
      <c r="B33" s="7">
        <v>108.57</v>
      </c>
      <c r="C33" s="8">
        <v>108.57</v>
      </c>
      <c r="D33" s="8">
        <v>108.57</v>
      </c>
      <c r="E33" s="8">
        <v>108.57</v>
      </c>
      <c r="F33" s="28"/>
      <c r="G33" s="7">
        <f>25 + 8 * SIN(12 *PI()*ROUNDDOWN(A33,0)/ 22)</f>
        <v>20.674873460355215</v>
      </c>
      <c r="H33" s="27">
        <v>0</v>
      </c>
      <c r="I33" s="27">
        <f>A34-A33</f>
        <v>-18</v>
      </c>
      <c r="J33" s="27">
        <v>3.3</v>
      </c>
      <c r="K33" s="27">
        <v>0</v>
      </c>
      <c r="L33" s="7">
        <f t="shared" si="0"/>
        <v>0</v>
      </c>
      <c r="M33" s="9">
        <f t="shared" si="3"/>
        <v>0</v>
      </c>
      <c r="N33" s="7">
        <f t="shared" si="1"/>
        <v>0</v>
      </c>
      <c r="O33" s="9">
        <f t="shared" si="2"/>
        <v>0</v>
      </c>
    </row>
    <row r="34" spans="1:36" ht="15" thickBot="1" x14ac:dyDescent="0.35">
      <c r="B34" s="1"/>
      <c r="K34" s="14" t="s">
        <v>9</v>
      </c>
      <c r="L34" s="7">
        <f>SUM(L3:L33)</f>
        <v>108.56339999999999</v>
      </c>
      <c r="M34" s="23">
        <f>SUM(M3:M33)</f>
        <v>2128.7731071498461</v>
      </c>
      <c r="N34" s="7">
        <f>SUM(N3:N33)</f>
        <v>108.57</v>
      </c>
      <c r="O34" s="22">
        <f>SUM(O3:O33)</f>
        <v>2283.4612227784178</v>
      </c>
    </row>
    <row r="35" spans="1:36" ht="15" thickBot="1" x14ac:dyDescent="0.35">
      <c r="L35" s="1"/>
      <c r="M35" s="1"/>
      <c r="N35" s="1"/>
      <c r="O35" s="34">
        <f>(O34-M34)/M34</f>
        <v>7.266538416378214E-2</v>
      </c>
    </row>
    <row r="36" spans="1:36" x14ac:dyDescent="0.3">
      <c r="F36">
        <v>0</v>
      </c>
      <c r="G36">
        <v>0</v>
      </c>
      <c r="H36">
        <v>0.42</v>
      </c>
      <c r="I36">
        <v>0.88</v>
      </c>
      <c r="J36">
        <v>0.98</v>
      </c>
      <c r="K36">
        <v>1.1000000000000001</v>
      </c>
      <c r="L36" s="1">
        <v>1.1000000000000001</v>
      </c>
      <c r="M36" s="1">
        <v>1.1000000000000001</v>
      </c>
      <c r="N36" s="1">
        <v>1.1000000000000001</v>
      </c>
      <c r="O36" s="1">
        <v>1.1000000000000001</v>
      </c>
      <c r="P36">
        <v>1.1000000000000001</v>
      </c>
      <c r="Q36">
        <v>1.1000000000000001</v>
      </c>
      <c r="R36">
        <v>1.1000000000000001</v>
      </c>
      <c r="S36">
        <v>24.86</v>
      </c>
      <c r="T36">
        <v>33.409999999999997</v>
      </c>
      <c r="U36">
        <v>52.42</v>
      </c>
      <c r="V36">
        <v>55.72</v>
      </c>
      <c r="W36">
        <v>75.52</v>
      </c>
      <c r="X36">
        <v>102.25</v>
      </c>
      <c r="Y36">
        <v>102.52</v>
      </c>
      <c r="Z36">
        <v>104.9</v>
      </c>
      <c r="AA36">
        <v>106.75</v>
      </c>
      <c r="AB36">
        <v>108.53</v>
      </c>
      <c r="AC36">
        <v>108.57</v>
      </c>
      <c r="AD36">
        <v>108.57</v>
      </c>
      <c r="AE36">
        <v>108.57</v>
      </c>
      <c r="AF36">
        <v>108.57</v>
      </c>
      <c r="AG36">
        <v>108.57</v>
      </c>
      <c r="AH36">
        <v>108.57</v>
      </c>
      <c r="AI36">
        <v>108.57</v>
      </c>
      <c r="AJ36">
        <v>108.57</v>
      </c>
    </row>
    <row r="39" spans="1:36" x14ac:dyDescent="0.3">
      <c r="A39">
        <v>7</v>
      </c>
      <c r="B39">
        <f>25 + 8 * SIN(12 *PI()*ROUNDDOWN(A39,0)/ 22)</f>
        <v>20.674873460355219</v>
      </c>
    </row>
    <row r="40" spans="1:36" x14ac:dyDescent="0.3">
      <c r="A40">
        <v>8</v>
      </c>
      <c r="B40">
        <f t="shared" ref="B40:B50" si="4">25 + 8 * SIN(12 *PI()*ROUNDDOWN(A40,0)/ 22)</f>
        <v>32.277055962836144</v>
      </c>
    </row>
    <row r="41" spans="1:36" x14ac:dyDescent="0.3">
      <c r="A41">
        <v>9</v>
      </c>
      <c r="B41">
        <f t="shared" si="4"/>
        <v>27.253860454731441</v>
      </c>
    </row>
    <row r="42" spans="1:36" x14ac:dyDescent="0.3">
      <c r="A42">
        <v>10</v>
      </c>
      <c r="B42">
        <f t="shared" si="4"/>
        <v>17.081428464952541</v>
      </c>
    </row>
    <row r="43" spans="1:36" x14ac:dyDescent="0.3">
      <c r="A43">
        <v>11</v>
      </c>
      <c r="B43">
        <f t="shared" si="4"/>
        <v>24.999999999999993</v>
      </c>
    </row>
    <row r="44" spans="1:36" x14ac:dyDescent="0.3">
      <c r="A44">
        <v>12</v>
      </c>
      <c r="B44">
        <f t="shared" si="4"/>
        <v>32.918571535047462</v>
      </c>
    </row>
    <row r="45" spans="1:36" x14ac:dyDescent="0.3">
      <c r="A45">
        <v>13</v>
      </c>
      <c r="B45">
        <f t="shared" si="4"/>
        <v>22.746139545268584</v>
      </c>
    </row>
    <row r="46" spans="1:36" x14ac:dyDescent="0.3">
      <c r="A46">
        <v>14</v>
      </c>
      <c r="B46">
        <f t="shared" si="4"/>
        <v>17.722944037163852</v>
      </c>
    </row>
    <row r="47" spans="1:36" x14ac:dyDescent="0.3">
      <c r="A47">
        <v>15</v>
      </c>
      <c r="B47">
        <f t="shared" si="4"/>
        <v>29.325126539644771</v>
      </c>
    </row>
    <row r="48" spans="1:36" x14ac:dyDescent="0.3">
      <c r="A48">
        <v>16</v>
      </c>
      <c r="B48">
        <f t="shared" si="4"/>
        <v>31.045996594834079</v>
      </c>
    </row>
    <row r="49" spans="1:2" x14ac:dyDescent="0.3">
      <c r="A49">
        <v>17</v>
      </c>
      <c r="B49">
        <f t="shared" si="4"/>
        <v>18.954003405165953</v>
      </c>
    </row>
    <row r="50" spans="1:2" x14ac:dyDescent="0.3">
      <c r="A50">
        <v>18</v>
      </c>
      <c r="B50">
        <f t="shared" si="4"/>
        <v>20.674873460355215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Succesful non-et test</vt:lpstr>
      <vt:lpstr>et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Zambrano Perilla</dc:creator>
  <cp:lastModifiedBy>Sergio Zambrano Perilla</cp:lastModifiedBy>
  <dcterms:created xsi:type="dcterms:W3CDTF">2020-04-14T11:35:16Z</dcterms:created>
  <dcterms:modified xsi:type="dcterms:W3CDTF">2020-04-17T21:31:09Z</dcterms:modified>
</cp:coreProperties>
</file>